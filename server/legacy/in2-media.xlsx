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CRETARIAPC\Downloads\"/>
    </mc:Choice>
  </mc:AlternateContent>
  <xr:revisionPtr revIDLastSave="0" documentId="13_ncr:1_{2A9AC473-24AD-44FA-B2FF-64CD1950C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director">Hoja1!$K$86</definedName>
    <definedName name="pgrupo">Hoja1!$K$13</definedName>
    <definedName name="pie">Hoja1!$Z$13</definedName>
    <definedName name="ppgrupo">Hoja1!$AO$13</definedName>
    <definedName name="Print_Area" localSheetId="0">Hoja1!$A$1:$BH$87</definedName>
    <definedName name="promedio">Hoja1!$AR$13</definedName>
    <definedName name="tdirector">Hoja1!$D$86</definedName>
    <definedName name="year">Hoja1!$N$12</definedName>
  </definedNames>
  <calcPr calcId="191029"/>
</workbook>
</file>

<file path=xl/calcChain.xml><?xml version="1.0" encoding="utf-8"?>
<calcChain xmlns="http://schemas.openxmlformats.org/spreadsheetml/2006/main">
  <c r="BB13" i="1" l="1"/>
  <c r="BF57" i="1"/>
  <c r="BF54" i="1" l="1"/>
  <c r="BF81" i="1" l="1"/>
  <c r="BF78" i="1"/>
  <c r="BF75" i="1"/>
  <c r="BF72" i="1"/>
  <c r="BF69" i="1"/>
  <c r="BF48" i="1"/>
  <c r="BF45" i="1"/>
  <c r="BF36" i="1"/>
  <c r="BF27" i="1"/>
  <c r="BF15" i="1"/>
</calcChain>
</file>

<file path=xl/sharedStrings.xml><?xml version="1.0" encoding="utf-8"?>
<sst xmlns="http://schemas.openxmlformats.org/spreadsheetml/2006/main" count="49" uniqueCount="49">
  <si>
    <t>SECRETARÍA DE EDUCACION DEPARTAMENTAL</t>
  </si>
  <si>
    <t>Página:1-1
Código:
GAFMR-40-05</t>
  </si>
  <si>
    <t>INSTITUCIÓN EDUCATIVA DE OCCIDENTE</t>
  </si>
  <si>
    <t>V.:02
26/01/2012</t>
  </si>
  <si>
    <t>NIT 890802641-2  DANE 117042000561</t>
  </si>
  <si>
    <t>DEPENDENCIA</t>
  </si>
  <si>
    <t>Nombre del estudiante</t>
  </si>
  <si>
    <t>BOHORQUEZ GUEVARA SANTIAGO - 1058078102</t>
  </si>
  <si>
    <t>INFORME</t>
  </si>
  <si>
    <t>Grado</t>
  </si>
  <si>
    <t>SEDE</t>
  </si>
  <si>
    <t>IE DE OCCIDENTE</t>
  </si>
  <si>
    <t>AÑO</t>
  </si>
  <si>
    <t>Puesto Grupo</t>
  </si>
  <si>
    <t>Puesto I.E.</t>
  </si>
  <si>
    <t>AREAS</t>
  </si>
  <si>
    <t>INAS</t>
  </si>
  <si>
    <t>INFORME DESCRIPTIVO</t>
  </si>
  <si>
    <t>DESEMPEÑO</t>
  </si>
  <si>
    <t>%</t>
  </si>
  <si>
    <t>VALOR</t>
  </si>
  <si>
    <t>PROM</t>
  </si>
  <si>
    <t xml:space="preserve">CIENCIAS NATURALES      </t>
  </si>
  <si>
    <t>Física</t>
  </si>
  <si>
    <t>Quimica</t>
  </si>
  <si>
    <t>Taller Ambiental</t>
  </si>
  <si>
    <t>Ciencias Sociales</t>
  </si>
  <si>
    <t>Taller Ciudadano</t>
  </si>
  <si>
    <t>Emprendimiento</t>
  </si>
  <si>
    <t>ARTISTICA</t>
  </si>
  <si>
    <t>E. FISICA, RECREACION Y DEPORTES</t>
  </si>
  <si>
    <t>HUMANIDADES Lengua Castellana</t>
  </si>
  <si>
    <t>Inglés</t>
  </si>
  <si>
    <t>Taller Literario</t>
  </si>
  <si>
    <t>ABREVIATURAS: INAS: inasistencia – DESEMPEÑO: valoración - SUPERIOR: Des. Superior (4.6 A 5.0)- ALTO: Des. Alto (4.0 A 4.5)- BASICO: Des. Basico(3.0 A 3.9) - BAJO: Des. Bajo(1.0 A 2.9)</t>
  </si>
  <si>
    <t>JHON CESAR CASTAÑO RODRIGUEZ</t>
  </si>
  <si>
    <t>Director(a) de Grupo</t>
  </si>
  <si>
    <t>Educación Etica y en Valores</t>
  </si>
  <si>
    <t>Promedio</t>
  </si>
  <si>
    <t>INFORME DE DESEMPEÑO ACADÉMICO POR PERIODOS</t>
  </si>
  <si>
    <t>Reading</t>
  </si>
  <si>
    <t>Danzas</t>
  </si>
  <si>
    <t>Teatro</t>
  </si>
  <si>
    <t>MATEMÁTICAS</t>
  </si>
  <si>
    <t>TECNOLOGIA E INFORMATICA</t>
  </si>
  <si>
    <t>CIENCIAS ECONÓMICAS Y POLÍTICAS</t>
  </si>
  <si>
    <t>FILOSOFÍA</t>
  </si>
  <si>
    <t>COMP. SOCIAL</t>
  </si>
  <si>
    <t>SECRETARÍA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</si>
</sst>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Calibri"/>
      <family val="2"/>
    </font>
    <font>
      <sz val="14"/>
      <color rgb="FF000000"/>
      <name val="Arial"/>
      <family val="2"/>
    </font>
    <font>
      <b/>
      <sz val="7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7.8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14"/>
      <color rgb="FF000000"/>
      <name val="Arial"/>
      <family val="2"/>
    </font>
    <font>
      <i/>
      <sz val="8"/>
      <color rgb="FF000000"/>
      <name val="Arial"/>
      <family val="2"/>
    </font>
    <font>
      <i/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5" xfId="0" applyFont="1" applyBorder="1"/>
    <xf numFmtId="0" fontId="6" fillId="0" borderId="0" xfId="0" applyFont="1"/>
    <xf numFmtId="0" fontId="2" fillId="0" borderId="6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20" xfId="0" applyNumberFormat="1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26" xfId="0" applyNumberFormat="1" applyFont="1" applyBorder="1" applyAlignment="1">
      <alignment horizontal="center" vertical="center"/>
    </xf>
    <xf numFmtId="164" fontId="4" fillId="0" borderId="27" xfId="0" applyNumberFormat="1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justify" vertical="top" wrapText="1"/>
    </xf>
    <xf numFmtId="0" fontId="12" fillId="0" borderId="5" xfId="0" applyFont="1" applyBorder="1" applyAlignment="1">
      <alignment horizontal="justify" vertical="top" wrapText="1"/>
    </xf>
    <xf numFmtId="0" fontId="12" fillId="0" borderId="2" xfId="0" applyFont="1" applyBorder="1" applyAlignment="1">
      <alignment horizontal="justify" vertical="top" wrapText="1"/>
    </xf>
    <xf numFmtId="0" fontId="12" fillId="0" borderId="8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12" fillId="0" borderId="1" xfId="0" applyFont="1" applyBorder="1" applyAlignment="1">
      <alignment horizontal="justify" vertical="top" wrapText="1"/>
    </xf>
    <xf numFmtId="0" fontId="12" fillId="0" borderId="9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2" fillId="0" borderId="3" xfId="0" applyFont="1" applyBorder="1" applyAlignment="1">
      <alignment horizontal="justify" vertical="top" wrapText="1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4" fillId="0" borderId="8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9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7" xfId="0" applyFont="1" applyBorder="1" applyAlignment="1">
      <alignment horizontal="justify" vertical="top"/>
    </xf>
    <xf numFmtId="0" fontId="4" fillId="0" borderId="5" xfId="0" applyFont="1" applyBorder="1" applyAlignment="1">
      <alignment horizontal="justify" vertical="top"/>
    </xf>
    <xf numFmtId="0" fontId="4" fillId="0" borderId="2" xfId="0" applyFont="1" applyBorder="1" applyAlignment="1">
      <alignment horizontal="justify" vertical="top"/>
    </xf>
    <xf numFmtId="0" fontId="4" fillId="0" borderId="8" xfId="0" applyFont="1" applyBorder="1" applyAlignment="1">
      <alignment horizontal="justify" vertical="top"/>
    </xf>
    <xf numFmtId="0" fontId="4" fillId="0" borderId="0" xfId="0" applyFont="1" applyAlignment="1">
      <alignment horizontal="justify" vertical="top"/>
    </xf>
    <xf numFmtId="0" fontId="4" fillId="0" borderId="1" xfId="0" applyFont="1" applyBorder="1" applyAlignment="1">
      <alignment horizontal="justify" vertical="top"/>
    </xf>
    <xf numFmtId="0" fontId="4" fillId="0" borderId="9" xfId="0" applyFont="1" applyBorder="1" applyAlignment="1">
      <alignment horizontal="justify" vertical="top"/>
    </xf>
    <xf numFmtId="0" fontId="4" fillId="0" borderId="6" xfId="0" applyFont="1" applyBorder="1" applyAlignment="1">
      <alignment horizontal="justify" vertical="top"/>
    </xf>
    <xf numFmtId="0" fontId="4" fillId="0" borderId="3" xfId="0" applyFont="1" applyBorder="1" applyAlignment="1">
      <alignment horizontal="justify" vertical="top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/>
    <xf numFmtId="0" fontId="6" fillId="0" borderId="8" xfId="0" applyFont="1" applyBorder="1"/>
    <xf numFmtId="0" fontId="6" fillId="0" borderId="0" xfId="0" applyFont="1"/>
    <xf numFmtId="0" fontId="6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justify" vertical="top"/>
    </xf>
    <xf numFmtId="0" fontId="8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</dxf>
    <dxf>
      <font>
        <b/>
        <i/>
        <color rgb="FFFF0000"/>
      </font>
    </dxf>
    <dxf>
      <font>
        <color rgb="FF9C0006"/>
      </font>
    </dxf>
    <dxf>
      <font>
        <b/>
        <i/>
        <color rgb="FFFF0000"/>
      </font>
    </dxf>
    <dxf>
      <font>
        <color rgb="FF9C0006"/>
      </font>
    </dxf>
    <dxf>
      <font>
        <b/>
        <i/>
        <color rgb="FFFF0000"/>
      </font>
    </dxf>
    <dxf>
      <font>
        <color rgb="FF9C0006"/>
      </font>
    </dxf>
    <dxf>
      <font>
        <b/>
        <i/>
        <color rgb="FFFF0000"/>
      </font>
    </dxf>
    <dxf>
      <font>
        <color rgb="FF9C0006"/>
      </font>
    </dxf>
    <dxf>
      <font>
        <b/>
        <i/>
        <color rgb="FFFF0000"/>
      </font>
    </dxf>
    <dxf>
      <font>
        <color rgb="FF9C0006"/>
      </font>
    </dxf>
    <dxf>
      <font>
        <b/>
        <i/>
        <color rgb="FFFF0000"/>
      </font>
    </dxf>
    <dxf>
      <font>
        <color rgb="FF9C0006"/>
      </font>
    </dxf>
    <dxf>
      <font>
        <b/>
        <i/>
        <color rgb="FFFF0000"/>
      </font>
    </dxf>
    <dxf>
      <font>
        <color rgb="FF9C0006"/>
      </font>
    </dxf>
    <dxf>
      <font>
        <b/>
        <i/>
        <color rgb="FFFF000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76200</xdr:rowOff>
    </xdr:from>
    <xdr:ext cx="704850" cy="809625"/>
    <xdr:pic>
      <xdr:nvPicPr>
        <xdr:cNvPr id="3" name="3 Imagen" descr="Escudo Colegio Occidente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76200"/>
          <a:ext cx="704850" cy="80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6"/>
  <sheetViews>
    <sheetView tabSelected="1" view="pageBreakPreview" zoomScaleNormal="180" zoomScaleSheetLayoutView="100" workbookViewId="0">
      <selection activeCell="M9" sqref="M9:BA9"/>
    </sheetView>
  </sheetViews>
  <sheetFormatPr baseColWidth="10" defaultColWidth="1.6640625" defaultRowHeight="14.4" x14ac:dyDescent="0.3"/>
  <cols>
    <col min="1" max="1" width="1.6640625" style="4"/>
    <col min="2" max="2" width="2" style="4" customWidth="1"/>
    <col min="3" max="47" width="1.6640625" style="4"/>
    <col min="48" max="48" width="10.6640625" style="4" customWidth="1"/>
    <col min="49" max="53" width="1.6640625" style="4"/>
    <col min="54" max="54" width="3.5546875" style="4" customWidth="1"/>
    <col min="55" max="55" width="2" style="4" customWidth="1"/>
    <col min="56" max="57" width="2.44140625" style="4" customWidth="1"/>
    <col min="58" max="59" width="1.6640625" style="4"/>
    <col min="60" max="60" width="2.88671875" style="4" customWidth="1"/>
    <col min="61" max="61" width="1.6640625" style="4"/>
  </cols>
  <sheetData>
    <row r="1" spans="1:60" ht="11.25" customHeight="1" x14ac:dyDescent="0.3">
      <c r="A1" s="82"/>
      <c r="B1" s="82"/>
      <c r="C1" s="82"/>
      <c r="D1" s="82"/>
      <c r="E1" s="82"/>
      <c r="F1" s="82"/>
      <c r="G1" s="82"/>
      <c r="H1" s="72" t="s">
        <v>0</v>
      </c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9"/>
      <c r="BC1" s="79" t="s">
        <v>1</v>
      </c>
      <c r="BD1" s="24"/>
      <c r="BE1" s="24"/>
      <c r="BF1" s="24"/>
      <c r="BG1" s="24"/>
      <c r="BH1" s="24"/>
    </row>
    <row r="2" spans="1:60" ht="10.5" customHeight="1" x14ac:dyDescent="0.3">
      <c r="A2" s="82"/>
      <c r="B2" s="82"/>
      <c r="C2" s="82"/>
      <c r="D2" s="82"/>
      <c r="E2" s="82"/>
      <c r="F2" s="82"/>
      <c r="G2" s="82"/>
      <c r="H2" s="74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10"/>
      <c r="BC2" s="24"/>
      <c r="BD2" s="24"/>
      <c r="BE2" s="24"/>
      <c r="BF2" s="24"/>
      <c r="BG2" s="24"/>
      <c r="BH2" s="24"/>
    </row>
    <row r="3" spans="1:60" ht="15" customHeight="1" x14ac:dyDescent="0.3">
      <c r="A3" s="82"/>
      <c r="B3" s="82"/>
      <c r="C3" s="82"/>
      <c r="D3" s="82"/>
      <c r="E3" s="82"/>
      <c r="F3" s="82"/>
      <c r="G3" s="82"/>
      <c r="H3" s="76" t="s">
        <v>2</v>
      </c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10"/>
      <c r="BC3" s="24"/>
      <c r="BD3" s="24"/>
      <c r="BE3" s="24"/>
      <c r="BF3" s="24"/>
      <c r="BG3" s="24"/>
      <c r="BH3" s="24"/>
    </row>
    <row r="4" spans="1:60" ht="8.25" customHeight="1" x14ac:dyDescent="0.3">
      <c r="A4" s="82"/>
      <c r="B4" s="82"/>
      <c r="C4" s="82"/>
      <c r="D4" s="82"/>
      <c r="E4" s="82"/>
      <c r="F4" s="82"/>
      <c r="G4" s="82"/>
      <c r="H4" s="74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10"/>
      <c r="BC4" s="70" t="s">
        <v>3</v>
      </c>
      <c r="BD4" s="71"/>
      <c r="BE4" s="71"/>
      <c r="BF4" s="71"/>
      <c r="BG4" s="71"/>
      <c r="BH4" s="71"/>
    </row>
    <row r="5" spans="1:60" x14ac:dyDescent="0.3">
      <c r="A5" s="82"/>
      <c r="B5" s="82"/>
      <c r="C5" s="82"/>
      <c r="D5" s="82"/>
      <c r="E5" s="82"/>
      <c r="F5" s="82"/>
      <c r="G5" s="82"/>
      <c r="H5" s="77" t="s">
        <v>4</v>
      </c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11"/>
      <c r="BC5" s="71"/>
      <c r="BD5" s="71"/>
      <c r="BE5" s="71"/>
      <c r="BF5" s="71"/>
      <c r="BG5" s="71"/>
      <c r="BH5" s="71"/>
    </row>
    <row r="6" spans="1:60" ht="12" customHeight="1" x14ac:dyDescent="0.3">
      <c r="A6" s="82"/>
      <c r="B6" s="82"/>
      <c r="C6" s="82"/>
      <c r="D6" s="82"/>
      <c r="E6" s="82"/>
      <c r="F6" s="82"/>
      <c r="G6" s="82"/>
      <c r="H6" s="94" t="s">
        <v>39</v>
      </c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47" t="s">
        <v>5</v>
      </c>
      <c r="AU6" s="47"/>
      <c r="AV6" s="47"/>
      <c r="AW6" s="47"/>
      <c r="AX6" s="47"/>
      <c r="AY6" s="47"/>
      <c r="AZ6" s="47"/>
      <c r="BA6" s="98"/>
      <c r="BB6" s="7"/>
      <c r="BC6" s="24" t="s">
        <v>48</v>
      </c>
      <c r="BD6" s="24"/>
      <c r="BE6" s="24"/>
      <c r="BF6" s="24"/>
      <c r="BG6" s="24"/>
      <c r="BH6" s="24"/>
    </row>
    <row r="7" spans="1:60" ht="5.25" customHeight="1" x14ac:dyDescent="0.3">
      <c r="A7" s="82"/>
      <c r="B7" s="82"/>
      <c r="C7" s="82"/>
      <c r="D7" s="82"/>
      <c r="E7" s="82"/>
      <c r="F7" s="82"/>
      <c r="G7" s="82"/>
      <c r="H7" s="96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51"/>
      <c r="AU7" s="51"/>
      <c r="AV7" s="51"/>
      <c r="AW7" s="51"/>
      <c r="AX7" s="51"/>
      <c r="AY7" s="51"/>
      <c r="AZ7" s="51"/>
      <c r="BA7" s="99"/>
      <c r="BB7" s="8"/>
      <c r="BC7" s="24"/>
      <c r="BD7" s="24"/>
      <c r="BE7" s="24"/>
      <c r="BF7" s="24"/>
      <c r="BG7" s="24"/>
      <c r="BH7" s="24"/>
    </row>
    <row r="8" spans="1:60" ht="8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82"/>
      <c r="BD8" s="82"/>
      <c r="BE8" s="82"/>
      <c r="BF8" s="82"/>
      <c r="BG8" s="82"/>
      <c r="BH8" s="82"/>
    </row>
    <row r="9" spans="1:60" ht="12.75" customHeight="1" x14ac:dyDescent="0.3">
      <c r="A9" s="84" t="s">
        <v>6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113" t="s">
        <v>7</v>
      </c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"/>
      <c r="BC9" s="82"/>
      <c r="BD9" s="82"/>
      <c r="BE9" s="82"/>
      <c r="BF9" s="82"/>
      <c r="BG9" s="82"/>
      <c r="BH9" s="82"/>
    </row>
    <row r="10" spans="1:60" ht="9" customHeight="1" x14ac:dyDescent="0.3">
      <c r="V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82"/>
      <c r="BD10" s="82"/>
      <c r="BE10" s="82"/>
      <c r="BF10" s="82"/>
      <c r="BG10" s="82"/>
      <c r="BH10" s="82"/>
    </row>
    <row r="11" spans="1:60" ht="12.75" customHeight="1" x14ac:dyDescent="0.3">
      <c r="A11" s="84" t="s">
        <v>8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6"/>
      <c r="N11" s="87"/>
      <c r="O11" s="87"/>
      <c r="P11" s="87"/>
      <c r="Q11" s="87"/>
      <c r="R11" s="87"/>
      <c r="S11" s="87"/>
      <c r="T11" s="87"/>
      <c r="U11" s="88"/>
      <c r="V11" s="1"/>
      <c r="W11" s="5" t="s">
        <v>9</v>
      </c>
      <c r="X11" s="5"/>
      <c r="Y11" s="5"/>
      <c r="Z11" s="5"/>
      <c r="AA11" s="85"/>
      <c r="AB11" s="85"/>
      <c r="AC11" s="85"/>
      <c r="AD11" s="85"/>
      <c r="AE11" s="85"/>
      <c r="AF11" s="85"/>
      <c r="AG11" s="85"/>
      <c r="AH11" s="5"/>
      <c r="AI11" s="5" t="s">
        <v>10</v>
      </c>
      <c r="AJ11" s="6"/>
      <c r="AL11" s="90" t="s">
        <v>11</v>
      </c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2"/>
      <c r="BC11" s="82"/>
      <c r="BD11" s="82"/>
      <c r="BE11" s="82"/>
      <c r="BF11" s="82"/>
      <c r="BG11" s="82"/>
      <c r="BH11" s="82"/>
    </row>
    <row r="12" spans="1:60" x14ac:dyDescent="0.3">
      <c r="A12" s="2"/>
      <c r="B12" s="2"/>
      <c r="C12" s="2"/>
      <c r="D12" s="78" t="s">
        <v>12</v>
      </c>
      <c r="E12" s="78"/>
      <c r="F12" s="78"/>
      <c r="G12" s="78"/>
      <c r="H12" s="78"/>
      <c r="I12" s="78"/>
      <c r="J12" s="2"/>
      <c r="K12" s="2"/>
      <c r="L12" s="2"/>
      <c r="M12" s="3"/>
      <c r="N12" s="106"/>
      <c r="O12" s="106"/>
      <c r="P12" s="106"/>
      <c r="Q12" s="106"/>
      <c r="R12" s="106"/>
      <c r="S12" s="106"/>
      <c r="T12" s="106"/>
      <c r="U12" s="3"/>
      <c r="V12" s="1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3"/>
      <c r="AK12" s="3"/>
      <c r="AL12" s="3"/>
      <c r="AM12" s="3"/>
      <c r="AN12" s="3"/>
      <c r="AO12" s="3"/>
      <c r="AP12" s="3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82"/>
      <c r="BD12" s="82"/>
      <c r="BE12" s="82"/>
      <c r="BF12" s="82"/>
      <c r="BG12" s="82"/>
      <c r="BH12" s="82"/>
    </row>
    <row r="13" spans="1:60" ht="17.399999999999999" x14ac:dyDescent="0.3">
      <c r="A13" s="93" t="s">
        <v>13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 t="s">
        <v>14</v>
      </c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107"/>
      <c r="AH13" s="108" t="s">
        <v>38</v>
      </c>
      <c r="AI13" s="108"/>
      <c r="AJ13" s="108"/>
      <c r="AK13" s="108"/>
      <c r="AL13" s="108"/>
      <c r="AM13" s="108"/>
      <c r="AN13" s="108"/>
      <c r="AO13" s="108"/>
      <c r="AP13" s="108"/>
      <c r="AQ13" s="108"/>
      <c r="AR13" s="108">
        <v>5</v>
      </c>
      <c r="AS13" s="108"/>
      <c r="AT13" s="108"/>
      <c r="AU13" s="108"/>
      <c r="AV13" s="108"/>
      <c r="AW13" s="108"/>
      <c r="AX13" s="108"/>
      <c r="AY13" s="108"/>
      <c r="AZ13" s="108"/>
      <c r="BA13" s="108"/>
      <c r="BB13" s="13" t="str">
        <f>IF(promedio&gt;=4.5,"😍",IF(AND(promedio&gt;=4,promedio&lt;4.5),"😊",IF(AND(promedio&gt;=3,promedio&lt;4),"🙄","😭")))</f>
        <v>😍</v>
      </c>
      <c r="BC13" s="83"/>
      <c r="BD13" s="82"/>
      <c r="BE13" s="82"/>
      <c r="BF13" s="82"/>
      <c r="BG13" s="82"/>
      <c r="BH13" s="82"/>
    </row>
    <row r="14" spans="1:60" x14ac:dyDescent="0.3">
      <c r="A14" s="80" t="s">
        <v>15</v>
      </c>
      <c r="B14" s="80"/>
      <c r="C14" s="80"/>
      <c r="D14" s="80"/>
      <c r="E14" s="80"/>
      <c r="F14" s="80"/>
      <c r="G14" s="80"/>
      <c r="H14" s="80" t="s">
        <v>16</v>
      </c>
      <c r="I14" s="80"/>
      <c r="J14" s="80"/>
      <c r="K14" s="80" t="s">
        <v>17</v>
      </c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9" t="s">
        <v>18</v>
      </c>
      <c r="AX14" s="89"/>
      <c r="AY14" s="89"/>
      <c r="AZ14" s="89"/>
      <c r="BA14" s="89"/>
      <c r="BB14" s="12" t="s">
        <v>19</v>
      </c>
      <c r="BC14" s="80" t="s">
        <v>20</v>
      </c>
      <c r="BD14" s="80"/>
      <c r="BE14" s="80"/>
      <c r="BF14" s="80" t="s">
        <v>21</v>
      </c>
      <c r="BG14" s="80"/>
      <c r="BH14" s="80"/>
    </row>
    <row r="15" spans="1:60" ht="12" customHeight="1" x14ac:dyDescent="0.3">
      <c r="A15" s="105" t="s">
        <v>22</v>
      </c>
      <c r="B15" s="105"/>
      <c r="C15" s="105"/>
      <c r="D15" s="105"/>
      <c r="E15" s="105"/>
      <c r="F15" s="105"/>
      <c r="G15" s="105"/>
      <c r="H15" s="36"/>
      <c r="I15" s="36"/>
      <c r="J15" s="36"/>
      <c r="K15" s="61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3"/>
      <c r="AW15" s="24"/>
      <c r="AX15" s="24"/>
      <c r="AY15" s="24"/>
      <c r="AZ15" s="24"/>
      <c r="BA15" s="24"/>
      <c r="BB15" s="29"/>
      <c r="BC15" s="23"/>
      <c r="BD15" s="23"/>
      <c r="BE15" s="23"/>
      <c r="BF15" s="14">
        <f>(BC15*BB15+BC18*BB18+BC21*BB21+BC24*BB24)/100</f>
        <v>0</v>
      </c>
      <c r="BG15" s="15"/>
      <c r="BH15" s="16"/>
    </row>
    <row r="16" spans="1:60" x14ac:dyDescent="0.3">
      <c r="A16" s="105"/>
      <c r="B16" s="105"/>
      <c r="C16" s="105"/>
      <c r="D16" s="105"/>
      <c r="E16" s="105"/>
      <c r="F16" s="105"/>
      <c r="G16" s="105"/>
      <c r="H16" s="36"/>
      <c r="I16" s="36"/>
      <c r="J16" s="36"/>
      <c r="K16" s="64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6"/>
      <c r="AW16" s="24"/>
      <c r="AX16" s="24"/>
      <c r="AY16" s="24"/>
      <c r="AZ16" s="24"/>
      <c r="BA16" s="24"/>
      <c r="BB16" s="30"/>
      <c r="BC16" s="23"/>
      <c r="BD16" s="23"/>
      <c r="BE16" s="23"/>
      <c r="BF16" s="17"/>
      <c r="BG16" s="18"/>
      <c r="BH16" s="19"/>
    </row>
    <row r="17" spans="1:60" x14ac:dyDescent="0.3">
      <c r="A17" s="105"/>
      <c r="B17" s="105"/>
      <c r="C17" s="105"/>
      <c r="D17" s="105"/>
      <c r="E17" s="105"/>
      <c r="F17" s="105"/>
      <c r="G17" s="105"/>
      <c r="H17" s="36"/>
      <c r="I17" s="36"/>
      <c r="J17" s="36"/>
      <c r="K17" s="67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9"/>
      <c r="AW17" s="24"/>
      <c r="AX17" s="24"/>
      <c r="AY17" s="24"/>
      <c r="AZ17" s="24"/>
      <c r="BA17" s="24"/>
      <c r="BB17" s="31"/>
      <c r="BC17" s="23"/>
      <c r="BD17" s="23"/>
      <c r="BE17" s="23"/>
      <c r="BF17" s="17"/>
      <c r="BG17" s="18"/>
      <c r="BH17" s="19"/>
    </row>
    <row r="18" spans="1:60" x14ac:dyDescent="0.3">
      <c r="A18" s="102" t="s">
        <v>23</v>
      </c>
      <c r="B18" s="102"/>
      <c r="C18" s="102"/>
      <c r="D18" s="102"/>
      <c r="E18" s="102"/>
      <c r="F18" s="102"/>
      <c r="G18" s="102"/>
      <c r="H18" s="36"/>
      <c r="I18" s="36"/>
      <c r="J18" s="36"/>
      <c r="K18" s="61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3"/>
      <c r="AW18" s="24"/>
      <c r="AX18" s="24"/>
      <c r="AY18" s="24"/>
      <c r="AZ18" s="24"/>
      <c r="BA18" s="24"/>
      <c r="BB18" s="29"/>
      <c r="BC18" s="23"/>
      <c r="BD18" s="23"/>
      <c r="BE18" s="23"/>
      <c r="BF18" s="17"/>
      <c r="BG18" s="18"/>
      <c r="BH18" s="19"/>
    </row>
    <row r="19" spans="1:60" x14ac:dyDescent="0.3">
      <c r="A19" s="102"/>
      <c r="B19" s="102"/>
      <c r="C19" s="102"/>
      <c r="D19" s="102"/>
      <c r="E19" s="102"/>
      <c r="F19" s="102"/>
      <c r="G19" s="102"/>
      <c r="H19" s="36"/>
      <c r="I19" s="36"/>
      <c r="J19" s="36"/>
      <c r="K19" s="64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6"/>
      <c r="AW19" s="24"/>
      <c r="AX19" s="24"/>
      <c r="AY19" s="24"/>
      <c r="AZ19" s="24"/>
      <c r="BA19" s="24"/>
      <c r="BB19" s="30"/>
      <c r="BC19" s="23"/>
      <c r="BD19" s="23"/>
      <c r="BE19" s="23"/>
      <c r="BF19" s="17"/>
      <c r="BG19" s="18"/>
      <c r="BH19" s="19"/>
    </row>
    <row r="20" spans="1:60" x14ac:dyDescent="0.3">
      <c r="A20" s="102"/>
      <c r="B20" s="102"/>
      <c r="C20" s="102"/>
      <c r="D20" s="102"/>
      <c r="E20" s="102"/>
      <c r="F20" s="102"/>
      <c r="G20" s="102"/>
      <c r="H20" s="36"/>
      <c r="I20" s="36"/>
      <c r="J20" s="36"/>
      <c r="K20" s="67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9"/>
      <c r="AW20" s="24"/>
      <c r="AX20" s="24"/>
      <c r="AY20" s="24"/>
      <c r="AZ20" s="24"/>
      <c r="BA20" s="24"/>
      <c r="BB20" s="31"/>
      <c r="BC20" s="23"/>
      <c r="BD20" s="23"/>
      <c r="BE20" s="23"/>
      <c r="BF20" s="17"/>
      <c r="BG20" s="18"/>
      <c r="BH20" s="19"/>
    </row>
    <row r="21" spans="1:60" x14ac:dyDescent="0.3">
      <c r="A21" s="101" t="s">
        <v>24</v>
      </c>
      <c r="B21" s="101"/>
      <c r="C21" s="101"/>
      <c r="D21" s="101"/>
      <c r="E21" s="101"/>
      <c r="F21" s="101"/>
      <c r="G21" s="101"/>
      <c r="H21" s="36"/>
      <c r="I21" s="36"/>
      <c r="J21" s="36"/>
      <c r="K21" s="61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3"/>
      <c r="AW21" s="24"/>
      <c r="AX21" s="24"/>
      <c r="AY21" s="24"/>
      <c r="AZ21" s="24"/>
      <c r="BA21" s="24"/>
      <c r="BB21" s="29"/>
      <c r="BC21" s="23"/>
      <c r="BD21" s="23"/>
      <c r="BE21" s="23"/>
      <c r="BF21" s="17"/>
      <c r="BG21" s="18"/>
      <c r="BH21" s="19"/>
    </row>
    <row r="22" spans="1:60" x14ac:dyDescent="0.3">
      <c r="A22" s="101"/>
      <c r="B22" s="101"/>
      <c r="C22" s="101"/>
      <c r="D22" s="101"/>
      <c r="E22" s="101"/>
      <c r="F22" s="101"/>
      <c r="G22" s="101"/>
      <c r="H22" s="36"/>
      <c r="I22" s="36"/>
      <c r="J22" s="36"/>
      <c r="K22" s="64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6"/>
      <c r="AW22" s="24"/>
      <c r="AX22" s="24"/>
      <c r="AY22" s="24"/>
      <c r="AZ22" s="24"/>
      <c r="BA22" s="24"/>
      <c r="BB22" s="30"/>
      <c r="BC22" s="23"/>
      <c r="BD22" s="23"/>
      <c r="BE22" s="23"/>
      <c r="BF22" s="17"/>
      <c r="BG22" s="18"/>
      <c r="BH22" s="19"/>
    </row>
    <row r="23" spans="1:60" x14ac:dyDescent="0.3">
      <c r="A23" s="101"/>
      <c r="B23" s="101"/>
      <c r="C23" s="101"/>
      <c r="D23" s="101"/>
      <c r="E23" s="101"/>
      <c r="F23" s="101"/>
      <c r="G23" s="101"/>
      <c r="H23" s="36"/>
      <c r="I23" s="36"/>
      <c r="J23" s="36"/>
      <c r="K23" s="67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9"/>
      <c r="AW23" s="24"/>
      <c r="AX23" s="24"/>
      <c r="AY23" s="24"/>
      <c r="AZ23" s="24"/>
      <c r="BA23" s="24"/>
      <c r="BB23" s="31"/>
      <c r="BC23" s="23"/>
      <c r="BD23" s="23"/>
      <c r="BE23" s="23"/>
      <c r="BF23" s="17"/>
      <c r="BG23" s="18"/>
      <c r="BH23" s="19"/>
    </row>
    <row r="24" spans="1:60" x14ac:dyDescent="0.3">
      <c r="A24" s="101" t="s">
        <v>25</v>
      </c>
      <c r="B24" s="101"/>
      <c r="C24" s="101"/>
      <c r="D24" s="101"/>
      <c r="E24" s="101"/>
      <c r="F24" s="101"/>
      <c r="G24" s="101"/>
      <c r="H24" s="36"/>
      <c r="I24" s="36"/>
      <c r="J24" s="36"/>
      <c r="K24" s="61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3"/>
      <c r="AW24" s="24"/>
      <c r="AX24" s="24"/>
      <c r="AY24" s="24"/>
      <c r="AZ24" s="24"/>
      <c r="BA24" s="24"/>
      <c r="BB24" s="29"/>
      <c r="BC24" s="23"/>
      <c r="BD24" s="23"/>
      <c r="BE24" s="23"/>
      <c r="BF24" s="17"/>
      <c r="BG24" s="18"/>
      <c r="BH24" s="19"/>
    </row>
    <row r="25" spans="1:60" x14ac:dyDescent="0.3">
      <c r="A25" s="101"/>
      <c r="B25" s="101"/>
      <c r="C25" s="101"/>
      <c r="D25" s="101"/>
      <c r="E25" s="101"/>
      <c r="F25" s="101"/>
      <c r="G25" s="101"/>
      <c r="H25" s="36"/>
      <c r="I25" s="36"/>
      <c r="J25" s="36"/>
      <c r="K25" s="64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6"/>
      <c r="AW25" s="24"/>
      <c r="AX25" s="24"/>
      <c r="AY25" s="24"/>
      <c r="AZ25" s="24"/>
      <c r="BA25" s="24"/>
      <c r="BB25" s="30"/>
      <c r="BC25" s="23"/>
      <c r="BD25" s="23"/>
      <c r="BE25" s="23"/>
      <c r="BF25" s="17"/>
      <c r="BG25" s="18"/>
      <c r="BH25" s="19"/>
    </row>
    <row r="26" spans="1:60" x14ac:dyDescent="0.3">
      <c r="A26" s="101"/>
      <c r="B26" s="101"/>
      <c r="C26" s="101"/>
      <c r="D26" s="101"/>
      <c r="E26" s="101"/>
      <c r="F26" s="101"/>
      <c r="G26" s="101"/>
      <c r="H26" s="36"/>
      <c r="I26" s="36"/>
      <c r="J26" s="36"/>
      <c r="K26" s="67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9"/>
      <c r="AW26" s="24"/>
      <c r="AX26" s="24"/>
      <c r="AY26" s="24"/>
      <c r="AZ26" s="24"/>
      <c r="BA26" s="24"/>
      <c r="BB26" s="31"/>
      <c r="BC26" s="23"/>
      <c r="BD26" s="23"/>
      <c r="BE26" s="23"/>
      <c r="BF26" s="20"/>
      <c r="BG26" s="21"/>
      <c r="BH26" s="22"/>
    </row>
    <row r="27" spans="1:60" ht="15" customHeight="1" x14ac:dyDescent="0.3">
      <c r="A27" s="35" t="s">
        <v>26</v>
      </c>
      <c r="B27" s="35"/>
      <c r="C27" s="35"/>
      <c r="D27" s="35"/>
      <c r="E27" s="35"/>
      <c r="F27" s="35"/>
      <c r="G27" s="35"/>
      <c r="H27" s="36"/>
      <c r="I27" s="36"/>
      <c r="J27" s="36"/>
      <c r="K27" s="37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4"/>
      <c r="AW27" s="46"/>
      <c r="AX27" s="47"/>
      <c r="AY27" s="47"/>
      <c r="AZ27" s="47"/>
      <c r="BA27" s="47"/>
      <c r="BB27" s="24"/>
      <c r="BC27" s="23"/>
      <c r="BD27" s="23"/>
      <c r="BE27" s="23"/>
      <c r="BF27" s="14">
        <f>(BC27*BB27+BC30*BB30+BC33*BB33)/100</f>
        <v>0</v>
      </c>
      <c r="BG27" s="15"/>
      <c r="BH27" s="16"/>
    </row>
    <row r="28" spans="1:60" x14ac:dyDescent="0.3">
      <c r="A28" s="35"/>
      <c r="B28" s="35"/>
      <c r="C28" s="35"/>
      <c r="D28" s="35"/>
      <c r="E28" s="35"/>
      <c r="F28" s="35"/>
      <c r="G28" s="35"/>
      <c r="H28" s="36"/>
      <c r="I28" s="36"/>
      <c r="J28" s="36"/>
      <c r="K28" s="55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7"/>
      <c r="AW28" s="48"/>
      <c r="AX28" s="49"/>
      <c r="AY28" s="49"/>
      <c r="AZ28" s="49"/>
      <c r="BA28" s="49"/>
      <c r="BB28" s="24"/>
      <c r="BC28" s="23"/>
      <c r="BD28" s="23"/>
      <c r="BE28" s="23"/>
      <c r="BF28" s="17"/>
      <c r="BG28" s="18"/>
      <c r="BH28" s="19"/>
    </row>
    <row r="29" spans="1:60" x14ac:dyDescent="0.3">
      <c r="A29" s="35"/>
      <c r="B29" s="35"/>
      <c r="C29" s="35"/>
      <c r="D29" s="35"/>
      <c r="E29" s="35"/>
      <c r="F29" s="35"/>
      <c r="G29" s="35"/>
      <c r="H29" s="36"/>
      <c r="I29" s="36"/>
      <c r="J29" s="36"/>
      <c r="K29" s="58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60"/>
      <c r="AW29" s="50"/>
      <c r="AX29" s="51"/>
      <c r="AY29" s="51"/>
      <c r="AZ29" s="51"/>
      <c r="BA29" s="51"/>
      <c r="BB29" s="24"/>
      <c r="BC29" s="23"/>
      <c r="BD29" s="23"/>
      <c r="BE29" s="23"/>
      <c r="BF29" s="17"/>
      <c r="BG29" s="18"/>
      <c r="BH29" s="19"/>
    </row>
    <row r="30" spans="1:60" ht="15" customHeight="1" x14ac:dyDescent="0.3">
      <c r="A30" s="102" t="s">
        <v>27</v>
      </c>
      <c r="B30" s="102"/>
      <c r="C30" s="102"/>
      <c r="D30" s="102"/>
      <c r="E30" s="102"/>
      <c r="F30" s="102"/>
      <c r="G30" s="102"/>
      <c r="H30" s="36"/>
      <c r="I30" s="36"/>
      <c r="J30" s="36"/>
      <c r="K30" s="61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3"/>
      <c r="AW30" s="24"/>
      <c r="AX30" s="24"/>
      <c r="AY30" s="24"/>
      <c r="AZ30" s="24"/>
      <c r="BA30" s="112"/>
      <c r="BB30" s="24"/>
      <c r="BC30" s="23"/>
      <c r="BD30" s="23"/>
      <c r="BE30" s="23"/>
      <c r="BF30" s="17"/>
      <c r="BG30" s="18"/>
      <c r="BH30" s="19"/>
    </row>
    <row r="31" spans="1:60" x14ac:dyDescent="0.3">
      <c r="A31" s="102"/>
      <c r="B31" s="102"/>
      <c r="C31" s="102"/>
      <c r="D31" s="102"/>
      <c r="E31" s="102"/>
      <c r="F31" s="102"/>
      <c r="G31" s="102"/>
      <c r="H31" s="36"/>
      <c r="I31" s="36"/>
      <c r="J31" s="36"/>
      <c r="K31" s="64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6"/>
      <c r="AW31" s="24"/>
      <c r="AX31" s="24"/>
      <c r="AY31" s="24"/>
      <c r="AZ31" s="24"/>
      <c r="BA31" s="112"/>
      <c r="BB31" s="24"/>
      <c r="BC31" s="23"/>
      <c r="BD31" s="23"/>
      <c r="BE31" s="23"/>
      <c r="BF31" s="17"/>
      <c r="BG31" s="18"/>
      <c r="BH31" s="19"/>
    </row>
    <row r="32" spans="1:60" x14ac:dyDescent="0.3">
      <c r="A32" s="102"/>
      <c r="B32" s="102"/>
      <c r="C32" s="102"/>
      <c r="D32" s="102"/>
      <c r="E32" s="102"/>
      <c r="F32" s="102"/>
      <c r="G32" s="102"/>
      <c r="H32" s="36"/>
      <c r="I32" s="36"/>
      <c r="J32" s="36"/>
      <c r="K32" s="67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9"/>
      <c r="AW32" s="24"/>
      <c r="AX32" s="24"/>
      <c r="AY32" s="24"/>
      <c r="AZ32" s="24"/>
      <c r="BA32" s="112"/>
      <c r="BB32" s="24"/>
      <c r="BC32" s="23"/>
      <c r="BD32" s="23"/>
      <c r="BE32" s="23"/>
      <c r="BF32" s="17"/>
      <c r="BG32" s="18"/>
      <c r="BH32" s="19"/>
    </row>
    <row r="33" spans="1:60" x14ac:dyDescent="0.3">
      <c r="A33" s="101" t="s">
        <v>28</v>
      </c>
      <c r="B33" s="101"/>
      <c r="C33" s="101"/>
      <c r="D33" s="101"/>
      <c r="E33" s="101"/>
      <c r="F33" s="101"/>
      <c r="G33" s="101"/>
      <c r="H33" s="36"/>
      <c r="I33" s="36"/>
      <c r="J33" s="36"/>
      <c r="K33" s="61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3"/>
      <c r="AW33" s="24"/>
      <c r="AX33" s="24"/>
      <c r="AY33" s="24"/>
      <c r="AZ33" s="24"/>
      <c r="BA33" s="112"/>
      <c r="BB33" s="24"/>
      <c r="BC33" s="23"/>
      <c r="BD33" s="23"/>
      <c r="BE33" s="23"/>
      <c r="BF33" s="17"/>
      <c r="BG33" s="18"/>
      <c r="BH33" s="19"/>
    </row>
    <row r="34" spans="1:60" x14ac:dyDescent="0.3">
      <c r="A34" s="101"/>
      <c r="B34" s="101"/>
      <c r="C34" s="101"/>
      <c r="D34" s="101"/>
      <c r="E34" s="101"/>
      <c r="F34" s="101"/>
      <c r="G34" s="101"/>
      <c r="H34" s="36"/>
      <c r="I34" s="36"/>
      <c r="J34" s="36"/>
      <c r="K34" s="64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6"/>
      <c r="AW34" s="24"/>
      <c r="AX34" s="24"/>
      <c r="AY34" s="24"/>
      <c r="AZ34" s="24"/>
      <c r="BA34" s="112"/>
      <c r="BB34" s="24"/>
      <c r="BC34" s="23"/>
      <c r="BD34" s="23"/>
      <c r="BE34" s="23"/>
      <c r="BF34" s="17"/>
      <c r="BG34" s="18"/>
      <c r="BH34" s="19"/>
    </row>
    <row r="35" spans="1:60" x14ac:dyDescent="0.3">
      <c r="A35" s="101"/>
      <c r="B35" s="101"/>
      <c r="C35" s="101"/>
      <c r="D35" s="101"/>
      <c r="E35" s="101"/>
      <c r="F35" s="101"/>
      <c r="G35" s="101"/>
      <c r="H35" s="36"/>
      <c r="I35" s="36"/>
      <c r="J35" s="36"/>
      <c r="K35" s="67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9"/>
      <c r="AW35" s="24"/>
      <c r="AX35" s="24"/>
      <c r="AY35" s="24"/>
      <c r="AZ35" s="24"/>
      <c r="BA35" s="112"/>
      <c r="BB35" s="24"/>
      <c r="BC35" s="23"/>
      <c r="BD35" s="23"/>
      <c r="BE35" s="23"/>
      <c r="BF35" s="20"/>
      <c r="BG35" s="21"/>
      <c r="BH35" s="22"/>
    </row>
    <row r="36" spans="1:60" x14ac:dyDescent="0.3">
      <c r="A36" s="103" t="s">
        <v>29</v>
      </c>
      <c r="B36" s="103"/>
      <c r="C36" s="103"/>
      <c r="D36" s="103"/>
      <c r="E36" s="103"/>
      <c r="F36" s="103"/>
      <c r="G36" s="103"/>
      <c r="H36" s="36"/>
      <c r="I36" s="36"/>
      <c r="J36" s="36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24"/>
      <c r="AX36" s="24"/>
      <c r="AY36" s="24"/>
      <c r="AZ36" s="24"/>
      <c r="BA36" s="24"/>
      <c r="BB36" s="29"/>
      <c r="BC36" s="23"/>
      <c r="BD36" s="23"/>
      <c r="BE36" s="23"/>
      <c r="BF36" s="14">
        <f>(BC36*BB36+BC39*BB39+BC42*BB42)/100</f>
        <v>0</v>
      </c>
      <c r="BG36" s="15"/>
      <c r="BH36" s="16"/>
    </row>
    <row r="37" spans="1:60" x14ac:dyDescent="0.3">
      <c r="A37" s="103"/>
      <c r="B37" s="103"/>
      <c r="C37" s="103"/>
      <c r="D37" s="103"/>
      <c r="E37" s="103"/>
      <c r="F37" s="103"/>
      <c r="G37" s="103"/>
      <c r="H37" s="36"/>
      <c r="I37" s="36"/>
      <c r="J37" s="36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24"/>
      <c r="AX37" s="24"/>
      <c r="AY37" s="24"/>
      <c r="AZ37" s="24"/>
      <c r="BA37" s="24"/>
      <c r="BB37" s="30"/>
      <c r="BC37" s="23"/>
      <c r="BD37" s="23"/>
      <c r="BE37" s="23"/>
      <c r="BF37" s="17"/>
      <c r="BG37" s="18"/>
      <c r="BH37" s="19"/>
    </row>
    <row r="38" spans="1:60" x14ac:dyDescent="0.3">
      <c r="A38" s="103"/>
      <c r="B38" s="103"/>
      <c r="C38" s="103"/>
      <c r="D38" s="103"/>
      <c r="E38" s="103"/>
      <c r="F38" s="103"/>
      <c r="G38" s="103"/>
      <c r="H38" s="36"/>
      <c r="I38" s="36"/>
      <c r="J38" s="36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24"/>
      <c r="AX38" s="24"/>
      <c r="AY38" s="24"/>
      <c r="AZ38" s="24"/>
      <c r="BA38" s="24"/>
      <c r="BB38" s="31"/>
      <c r="BC38" s="23"/>
      <c r="BD38" s="23"/>
      <c r="BE38" s="23"/>
      <c r="BF38" s="17"/>
      <c r="BG38" s="18"/>
      <c r="BH38" s="19"/>
    </row>
    <row r="39" spans="1:60" x14ac:dyDescent="0.3">
      <c r="A39" s="101" t="s">
        <v>41</v>
      </c>
      <c r="B39" s="101"/>
      <c r="C39" s="101"/>
      <c r="D39" s="101"/>
      <c r="E39" s="101"/>
      <c r="F39" s="101"/>
      <c r="G39" s="101"/>
      <c r="H39" s="36"/>
      <c r="I39" s="36"/>
      <c r="J39" s="36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24"/>
      <c r="AX39" s="24"/>
      <c r="AY39" s="24"/>
      <c r="AZ39" s="24"/>
      <c r="BA39" s="24"/>
      <c r="BB39" s="29"/>
      <c r="BC39" s="23"/>
      <c r="BD39" s="23"/>
      <c r="BE39" s="23"/>
      <c r="BF39" s="17"/>
      <c r="BG39" s="18"/>
      <c r="BH39" s="19"/>
    </row>
    <row r="40" spans="1:60" x14ac:dyDescent="0.3">
      <c r="A40" s="101"/>
      <c r="B40" s="101"/>
      <c r="C40" s="101"/>
      <c r="D40" s="101"/>
      <c r="E40" s="101"/>
      <c r="F40" s="101"/>
      <c r="G40" s="101"/>
      <c r="H40" s="36"/>
      <c r="I40" s="36"/>
      <c r="J40" s="36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24"/>
      <c r="AX40" s="24"/>
      <c r="AY40" s="24"/>
      <c r="AZ40" s="24"/>
      <c r="BA40" s="24"/>
      <c r="BB40" s="30"/>
      <c r="BC40" s="23"/>
      <c r="BD40" s="23"/>
      <c r="BE40" s="23"/>
      <c r="BF40" s="17"/>
      <c r="BG40" s="18"/>
      <c r="BH40" s="19"/>
    </row>
    <row r="41" spans="1:60" x14ac:dyDescent="0.3">
      <c r="A41" s="101"/>
      <c r="B41" s="101"/>
      <c r="C41" s="101"/>
      <c r="D41" s="101"/>
      <c r="E41" s="101"/>
      <c r="F41" s="101"/>
      <c r="G41" s="101"/>
      <c r="H41" s="36"/>
      <c r="I41" s="36"/>
      <c r="J41" s="36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24"/>
      <c r="AX41" s="24"/>
      <c r="AY41" s="24"/>
      <c r="AZ41" s="24"/>
      <c r="BA41" s="24"/>
      <c r="BB41" s="31"/>
      <c r="BC41" s="23"/>
      <c r="BD41" s="23"/>
      <c r="BE41" s="23"/>
      <c r="BF41" s="17"/>
      <c r="BG41" s="18"/>
      <c r="BH41" s="19"/>
    </row>
    <row r="42" spans="1:60" x14ac:dyDescent="0.3">
      <c r="A42" s="101" t="s">
        <v>42</v>
      </c>
      <c r="B42" s="101"/>
      <c r="C42" s="101"/>
      <c r="D42" s="101"/>
      <c r="E42" s="101"/>
      <c r="F42" s="101"/>
      <c r="G42" s="101"/>
      <c r="H42" s="36"/>
      <c r="I42" s="36"/>
      <c r="J42" s="36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24"/>
      <c r="AX42" s="24"/>
      <c r="AY42" s="24"/>
      <c r="AZ42" s="24"/>
      <c r="BA42" s="24"/>
      <c r="BB42" s="29"/>
      <c r="BC42" s="23"/>
      <c r="BD42" s="23"/>
      <c r="BE42" s="23"/>
      <c r="BF42" s="17"/>
      <c r="BG42" s="18"/>
      <c r="BH42" s="19"/>
    </row>
    <row r="43" spans="1:60" x14ac:dyDescent="0.3">
      <c r="A43" s="101"/>
      <c r="B43" s="101"/>
      <c r="C43" s="101"/>
      <c r="D43" s="101"/>
      <c r="E43" s="101"/>
      <c r="F43" s="101"/>
      <c r="G43" s="101"/>
      <c r="H43" s="36"/>
      <c r="I43" s="36"/>
      <c r="J43" s="36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24"/>
      <c r="AX43" s="24"/>
      <c r="AY43" s="24"/>
      <c r="AZ43" s="24"/>
      <c r="BA43" s="24"/>
      <c r="BB43" s="30"/>
      <c r="BC43" s="23"/>
      <c r="BD43" s="23"/>
      <c r="BE43" s="23"/>
      <c r="BF43" s="17"/>
      <c r="BG43" s="18"/>
      <c r="BH43" s="19"/>
    </row>
    <row r="44" spans="1:60" x14ac:dyDescent="0.3">
      <c r="A44" s="101"/>
      <c r="B44" s="101"/>
      <c r="C44" s="101"/>
      <c r="D44" s="101"/>
      <c r="E44" s="101"/>
      <c r="F44" s="101"/>
      <c r="G44" s="101"/>
      <c r="H44" s="36"/>
      <c r="I44" s="36"/>
      <c r="J44" s="36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24"/>
      <c r="AX44" s="24"/>
      <c r="AY44" s="24"/>
      <c r="AZ44" s="24"/>
      <c r="BA44" s="24"/>
      <c r="BB44" s="31"/>
      <c r="BC44" s="23"/>
      <c r="BD44" s="23"/>
      <c r="BE44" s="23"/>
      <c r="BF44" s="109"/>
      <c r="BG44" s="110"/>
      <c r="BH44" s="111"/>
    </row>
    <row r="45" spans="1:60" ht="12" customHeight="1" x14ac:dyDescent="0.3">
      <c r="A45" s="35" t="s">
        <v>37</v>
      </c>
      <c r="B45" s="35"/>
      <c r="C45" s="35"/>
      <c r="D45" s="35"/>
      <c r="E45" s="35"/>
      <c r="F45" s="35"/>
      <c r="G45" s="35"/>
      <c r="H45" s="36"/>
      <c r="I45" s="36"/>
      <c r="J45" s="36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24"/>
      <c r="AX45" s="24"/>
      <c r="AY45" s="24"/>
      <c r="AZ45" s="24"/>
      <c r="BA45" s="24"/>
      <c r="BB45" s="46"/>
      <c r="BC45" s="23"/>
      <c r="BD45" s="23"/>
      <c r="BE45" s="23"/>
      <c r="BF45" s="25">
        <f>BC45*BB45/100</f>
        <v>0</v>
      </c>
      <c r="BG45" s="25"/>
      <c r="BH45" s="25"/>
    </row>
    <row r="46" spans="1:60" x14ac:dyDescent="0.3">
      <c r="A46" s="35"/>
      <c r="B46" s="35"/>
      <c r="C46" s="35"/>
      <c r="D46" s="35"/>
      <c r="E46" s="35"/>
      <c r="F46" s="35"/>
      <c r="G46" s="35"/>
      <c r="H46" s="36"/>
      <c r="I46" s="36"/>
      <c r="J46" s="36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24"/>
      <c r="AX46" s="24"/>
      <c r="AY46" s="24"/>
      <c r="AZ46" s="24"/>
      <c r="BA46" s="24"/>
      <c r="BB46" s="48"/>
      <c r="BC46" s="23"/>
      <c r="BD46" s="23"/>
      <c r="BE46" s="23"/>
      <c r="BF46" s="25"/>
      <c r="BG46" s="25"/>
      <c r="BH46" s="25"/>
    </row>
    <row r="47" spans="1:60" x14ac:dyDescent="0.3">
      <c r="A47" s="35"/>
      <c r="B47" s="35"/>
      <c r="C47" s="35"/>
      <c r="D47" s="35"/>
      <c r="E47" s="35"/>
      <c r="F47" s="35"/>
      <c r="G47" s="35"/>
      <c r="H47" s="36"/>
      <c r="I47" s="36"/>
      <c r="J47" s="36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24"/>
      <c r="AX47" s="24"/>
      <c r="AY47" s="24"/>
      <c r="AZ47" s="24"/>
      <c r="BA47" s="24"/>
      <c r="BB47" s="50"/>
      <c r="BC47" s="23"/>
      <c r="BD47" s="23"/>
      <c r="BE47" s="23"/>
      <c r="BF47" s="25"/>
      <c r="BG47" s="25"/>
      <c r="BH47" s="25"/>
    </row>
    <row r="48" spans="1:60" x14ac:dyDescent="0.3">
      <c r="A48" s="35" t="s">
        <v>30</v>
      </c>
      <c r="B48" s="35"/>
      <c r="C48" s="35"/>
      <c r="D48" s="35"/>
      <c r="E48" s="35"/>
      <c r="F48" s="35"/>
      <c r="G48" s="35"/>
      <c r="H48" s="36"/>
      <c r="I48" s="36"/>
      <c r="J48" s="36"/>
      <c r="K48" s="61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3"/>
      <c r="AW48" s="24"/>
      <c r="AX48" s="24"/>
      <c r="AY48" s="24"/>
      <c r="AZ48" s="24"/>
      <c r="BA48" s="24"/>
      <c r="BB48" s="29"/>
      <c r="BC48" s="23"/>
      <c r="BD48" s="23"/>
      <c r="BE48" s="23"/>
      <c r="BF48" s="26">
        <f>(BC48*BB48+BB51*BC51)/100</f>
        <v>0</v>
      </c>
      <c r="BG48" s="27"/>
      <c r="BH48" s="28"/>
    </row>
    <row r="49" spans="1:60" x14ac:dyDescent="0.3">
      <c r="A49" s="35"/>
      <c r="B49" s="35"/>
      <c r="C49" s="35"/>
      <c r="D49" s="35"/>
      <c r="E49" s="35"/>
      <c r="F49" s="35"/>
      <c r="G49" s="35"/>
      <c r="H49" s="36"/>
      <c r="I49" s="36"/>
      <c r="J49" s="36"/>
      <c r="K49" s="64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6"/>
      <c r="AW49" s="24"/>
      <c r="AX49" s="24"/>
      <c r="AY49" s="24"/>
      <c r="AZ49" s="24"/>
      <c r="BA49" s="24"/>
      <c r="BB49" s="30"/>
      <c r="BC49" s="23"/>
      <c r="BD49" s="23"/>
      <c r="BE49" s="23"/>
      <c r="BF49" s="17"/>
      <c r="BG49" s="18"/>
      <c r="BH49" s="19"/>
    </row>
    <row r="50" spans="1:60" ht="15" customHeight="1" x14ac:dyDescent="0.3">
      <c r="A50" s="35"/>
      <c r="B50" s="35"/>
      <c r="C50" s="35"/>
      <c r="D50" s="35"/>
      <c r="E50" s="35"/>
      <c r="F50" s="35"/>
      <c r="G50" s="35"/>
      <c r="H50" s="36"/>
      <c r="I50" s="36"/>
      <c r="J50" s="36"/>
      <c r="K50" s="67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9"/>
      <c r="AW50" s="24"/>
      <c r="AX50" s="24"/>
      <c r="AY50" s="24"/>
      <c r="AZ50" s="24"/>
      <c r="BA50" s="24"/>
      <c r="BB50" s="31"/>
      <c r="BC50" s="23"/>
      <c r="BD50" s="23"/>
      <c r="BE50" s="23"/>
      <c r="BF50" s="17"/>
      <c r="BG50" s="18"/>
      <c r="BH50" s="19"/>
    </row>
    <row r="51" spans="1:60" ht="3.6" customHeight="1" x14ac:dyDescent="0.3">
      <c r="A51" s="100"/>
      <c r="B51" s="100"/>
      <c r="C51" s="100"/>
      <c r="D51" s="100"/>
      <c r="E51" s="100"/>
      <c r="F51" s="100"/>
      <c r="G51" s="100"/>
      <c r="H51" s="36"/>
      <c r="I51" s="36"/>
      <c r="J51" s="36"/>
      <c r="K51" s="61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3"/>
      <c r="AW51" s="24"/>
      <c r="AX51" s="24"/>
      <c r="AY51" s="24"/>
      <c r="AZ51" s="24"/>
      <c r="BA51" s="24"/>
      <c r="BB51" s="29"/>
      <c r="BC51" s="23"/>
      <c r="BD51" s="23"/>
      <c r="BE51" s="23"/>
      <c r="BF51" s="17"/>
      <c r="BG51" s="18"/>
      <c r="BH51" s="19"/>
    </row>
    <row r="52" spans="1:60" ht="3.6" customHeight="1" x14ac:dyDescent="0.3">
      <c r="A52" s="100"/>
      <c r="B52" s="100"/>
      <c r="C52" s="100"/>
      <c r="D52" s="100"/>
      <c r="E52" s="100"/>
      <c r="F52" s="100"/>
      <c r="G52" s="100"/>
      <c r="H52" s="36"/>
      <c r="I52" s="36"/>
      <c r="J52" s="36"/>
      <c r="K52" s="64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6"/>
      <c r="AW52" s="24"/>
      <c r="AX52" s="24"/>
      <c r="AY52" s="24"/>
      <c r="AZ52" s="24"/>
      <c r="BA52" s="24"/>
      <c r="BB52" s="30"/>
      <c r="BC52" s="23"/>
      <c r="BD52" s="23"/>
      <c r="BE52" s="23"/>
      <c r="BF52" s="17"/>
      <c r="BG52" s="18"/>
      <c r="BH52" s="19"/>
    </row>
    <row r="53" spans="1:60" ht="3.6" customHeight="1" x14ac:dyDescent="0.3">
      <c r="A53" s="100"/>
      <c r="B53" s="100"/>
      <c r="C53" s="100"/>
      <c r="D53" s="100"/>
      <c r="E53" s="100"/>
      <c r="F53" s="100"/>
      <c r="G53" s="100"/>
      <c r="H53" s="36"/>
      <c r="I53" s="36"/>
      <c r="J53" s="36"/>
      <c r="K53" s="67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9"/>
      <c r="AW53" s="24"/>
      <c r="AX53" s="24"/>
      <c r="AY53" s="24"/>
      <c r="AZ53" s="24"/>
      <c r="BA53" s="24"/>
      <c r="BB53" s="31"/>
      <c r="BC53" s="23"/>
      <c r="BD53" s="23"/>
      <c r="BE53" s="23"/>
      <c r="BF53" s="20"/>
      <c r="BG53" s="21"/>
      <c r="BH53" s="22"/>
    </row>
    <row r="54" spans="1:60" ht="3.6" customHeight="1" x14ac:dyDescent="0.3">
      <c r="A54" s="35"/>
      <c r="B54" s="35"/>
      <c r="C54" s="35"/>
      <c r="D54" s="35"/>
      <c r="E54" s="35"/>
      <c r="F54" s="35"/>
      <c r="G54" s="35"/>
      <c r="H54" s="36"/>
      <c r="I54" s="36"/>
      <c r="J54" s="36"/>
      <c r="K54" s="37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9"/>
      <c r="AW54" s="46"/>
      <c r="AX54" s="47"/>
      <c r="AY54" s="47"/>
      <c r="AZ54" s="47"/>
      <c r="BA54" s="47"/>
      <c r="BB54" s="24"/>
      <c r="BC54" s="23"/>
      <c r="BD54" s="23"/>
      <c r="BE54" s="23"/>
      <c r="BF54" s="25">
        <f>BC54*BB54/100</f>
        <v>0</v>
      </c>
      <c r="BG54" s="25"/>
      <c r="BH54" s="25"/>
    </row>
    <row r="55" spans="1:60" ht="3.6" customHeight="1" x14ac:dyDescent="0.3">
      <c r="A55" s="35"/>
      <c r="B55" s="35"/>
      <c r="C55" s="35"/>
      <c r="D55" s="35"/>
      <c r="E55" s="35"/>
      <c r="F55" s="35"/>
      <c r="G55" s="35"/>
      <c r="H55" s="36"/>
      <c r="I55" s="36"/>
      <c r="J55" s="36"/>
      <c r="K55" s="40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2"/>
      <c r="AW55" s="48"/>
      <c r="AX55" s="49"/>
      <c r="AY55" s="49"/>
      <c r="AZ55" s="49"/>
      <c r="BA55" s="49"/>
      <c r="BB55" s="24"/>
      <c r="BC55" s="23"/>
      <c r="BD55" s="23"/>
      <c r="BE55" s="23"/>
      <c r="BF55" s="25"/>
      <c r="BG55" s="25"/>
      <c r="BH55" s="25"/>
    </row>
    <row r="56" spans="1:60" ht="3.6" customHeight="1" x14ac:dyDescent="0.3">
      <c r="A56" s="35"/>
      <c r="B56" s="35"/>
      <c r="C56" s="35"/>
      <c r="D56" s="35"/>
      <c r="E56" s="35"/>
      <c r="F56" s="35"/>
      <c r="G56" s="35"/>
      <c r="H56" s="36"/>
      <c r="I56" s="36"/>
      <c r="J56" s="36"/>
      <c r="K56" s="43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5"/>
      <c r="AW56" s="50"/>
      <c r="AX56" s="51"/>
      <c r="AY56" s="51"/>
      <c r="AZ56" s="51"/>
      <c r="BA56" s="51"/>
      <c r="BB56" s="24"/>
      <c r="BC56" s="23"/>
      <c r="BD56" s="23"/>
      <c r="BE56" s="23"/>
      <c r="BF56" s="25"/>
      <c r="BG56" s="25"/>
      <c r="BH56" s="25"/>
    </row>
    <row r="57" spans="1:60" ht="12" customHeight="1" x14ac:dyDescent="0.3">
      <c r="A57" s="35" t="s">
        <v>31</v>
      </c>
      <c r="B57" s="35"/>
      <c r="C57" s="35"/>
      <c r="D57" s="35"/>
      <c r="E57" s="35"/>
      <c r="F57" s="35"/>
      <c r="G57" s="35"/>
      <c r="H57" s="36"/>
      <c r="I57" s="36"/>
      <c r="J57" s="36"/>
      <c r="K57" s="61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3"/>
      <c r="AW57" s="24"/>
      <c r="AX57" s="24"/>
      <c r="AY57" s="24"/>
      <c r="AZ57" s="24"/>
      <c r="BA57" s="24"/>
      <c r="BB57" s="24"/>
      <c r="BC57" s="23"/>
      <c r="BD57" s="23"/>
      <c r="BE57" s="23"/>
      <c r="BF57" s="26">
        <f>(BC57*BB57+BC60*BB60+BC63*BB63+BB66*BC66)/100</f>
        <v>0</v>
      </c>
      <c r="BG57" s="27"/>
      <c r="BH57" s="28"/>
    </row>
    <row r="58" spans="1:60" x14ac:dyDescent="0.3">
      <c r="A58" s="35"/>
      <c r="B58" s="35"/>
      <c r="C58" s="35"/>
      <c r="D58" s="35"/>
      <c r="E58" s="35"/>
      <c r="F58" s="35"/>
      <c r="G58" s="35"/>
      <c r="H58" s="36"/>
      <c r="I58" s="36"/>
      <c r="J58" s="36"/>
      <c r="K58" s="64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6"/>
      <c r="AW58" s="24"/>
      <c r="AX58" s="24"/>
      <c r="AY58" s="24"/>
      <c r="AZ58" s="24"/>
      <c r="BA58" s="24"/>
      <c r="BB58" s="24"/>
      <c r="BC58" s="23"/>
      <c r="BD58" s="23"/>
      <c r="BE58" s="23"/>
      <c r="BF58" s="17"/>
      <c r="BG58" s="18"/>
      <c r="BH58" s="19"/>
    </row>
    <row r="59" spans="1:60" x14ac:dyDescent="0.3">
      <c r="A59" s="35"/>
      <c r="B59" s="35"/>
      <c r="C59" s="35"/>
      <c r="D59" s="35"/>
      <c r="E59" s="35"/>
      <c r="F59" s="35"/>
      <c r="G59" s="35"/>
      <c r="H59" s="36"/>
      <c r="I59" s="36"/>
      <c r="J59" s="36"/>
      <c r="K59" s="67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9"/>
      <c r="AW59" s="24"/>
      <c r="AX59" s="24"/>
      <c r="AY59" s="24"/>
      <c r="AZ59" s="24"/>
      <c r="BA59" s="24"/>
      <c r="BB59" s="24"/>
      <c r="BC59" s="23"/>
      <c r="BD59" s="23"/>
      <c r="BE59" s="23"/>
      <c r="BF59" s="17"/>
      <c r="BG59" s="18"/>
      <c r="BH59" s="19"/>
    </row>
    <row r="60" spans="1:60" x14ac:dyDescent="0.3">
      <c r="A60" s="52" t="s">
        <v>40</v>
      </c>
      <c r="B60" s="52"/>
      <c r="C60" s="52"/>
      <c r="D60" s="52"/>
      <c r="E60" s="52"/>
      <c r="F60" s="52"/>
      <c r="G60" s="52"/>
      <c r="H60" s="36"/>
      <c r="I60" s="36"/>
      <c r="J60" s="36"/>
      <c r="K60" s="37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4"/>
      <c r="AW60" s="24"/>
      <c r="AX60" s="24"/>
      <c r="AY60" s="24"/>
      <c r="AZ60" s="24"/>
      <c r="BA60" s="24"/>
      <c r="BB60" s="24"/>
      <c r="BC60" s="23"/>
      <c r="BD60" s="23"/>
      <c r="BE60" s="23"/>
      <c r="BF60" s="17"/>
      <c r="BG60" s="18"/>
      <c r="BH60" s="19"/>
    </row>
    <row r="61" spans="1:60" x14ac:dyDescent="0.3">
      <c r="A61" s="52"/>
      <c r="B61" s="52"/>
      <c r="C61" s="52"/>
      <c r="D61" s="52"/>
      <c r="E61" s="52"/>
      <c r="F61" s="52"/>
      <c r="G61" s="52"/>
      <c r="H61" s="36"/>
      <c r="I61" s="36"/>
      <c r="J61" s="36"/>
      <c r="K61" s="55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7"/>
      <c r="AW61" s="24"/>
      <c r="AX61" s="24"/>
      <c r="AY61" s="24"/>
      <c r="AZ61" s="24"/>
      <c r="BA61" s="24"/>
      <c r="BB61" s="24"/>
      <c r="BC61" s="23"/>
      <c r="BD61" s="23"/>
      <c r="BE61" s="23"/>
      <c r="BF61" s="17"/>
      <c r="BG61" s="18"/>
      <c r="BH61" s="19"/>
    </row>
    <row r="62" spans="1:60" x14ac:dyDescent="0.3">
      <c r="A62" s="52"/>
      <c r="B62" s="52"/>
      <c r="C62" s="52"/>
      <c r="D62" s="52"/>
      <c r="E62" s="52"/>
      <c r="F62" s="52"/>
      <c r="G62" s="52"/>
      <c r="H62" s="36"/>
      <c r="I62" s="36"/>
      <c r="J62" s="36"/>
      <c r="K62" s="58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60"/>
      <c r="AW62" s="24"/>
      <c r="AX62" s="24"/>
      <c r="AY62" s="24"/>
      <c r="AZ62" s="24"/>
      <c r="BA62" s="24"/>
      <c r="BB62" s="24"/>
      <c r="BC62" s="23"/>
      <c r="BD62" s="23"/>
      <c r="BE62" s="23"/>
      <c r="BF62" s="17"/>
      <c r="BG62" s="18"/>
      <c r="BH62" s="19"/>
    </row>
    <row r="63" spans="1:60" x14ac:dyDescent="0.3">
      <c r="A63" s="52" t="s">
        <v>32</v>
      </c>
      <c r="B63" s="52"/>
      <c r="C63" s="52"/>
      <c r="D63" s="52"/>
      <c r="E63" s="52"/>
      <c r="F63" s="52"/>
      <c r="G63" s="52"/>
      <c r="H63" s="36"/>
      <c r="I63" s="36"/>
      <c r="J63" s="36"/>
      <c r="K63" s="37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4"/>
      <c r="AW63" s="24"/>
      <c r="AX63" s="24"/>
      <c r="AY63" s="24"/>
      <c r="AZ63" s="24"/>
      <c r="BA63" s="24"/>
      <c r="BB63" s="24"/>
      <c r="BC63" s="23"/>
      <c r="BD63" s="23"/>
      <c r="BE63" s="23"/>
      <c r="BF63" s="17"/>
      <c r="BG63" s="18"/>
      <c r="BH63" s="19"/>
    </row>
    <row r="64" spans="1:60" x14ac:dyDescent="0.3">
      <c r="A64" s="52"/>
      <c r="B64" s="52"/>
      <c r="C64" s="52"/>
      <c r="D64" s="52"/>
      <c r="E64" s="52"/>
      <c r="F64" s="52"/>
      <c r="G64" s="52"/>
      <c r="H64" s="36"/>
      <c r="I64" s="36"/>
      <c r="J64" s="36"/>
      <c r="K64" s="55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7"/>
      <c r="AW64" s="24"/>
      <c r="AX64" s="24"/>
      <c r="AY64" s="24"/>
      <c r="AZ64" s="24"/>
      <c r="BA64" s="24"/>
      <c r="BB64" s="24"/>
      <c r="BC64" s="23"/>
      <c r="BD64" s="23"/>
      <c r="BE64" s="23"/>
      <c r="BF64" s="17"/>
      <c r="BG64" s="18"/>
      <c r="BH64" s="19"/>
    </row>
    <row r="65" spans="1:60" x14ac:dyDescent="0.3">
      <c r="A65" s="52"/>
      <c r="B65" s="52"/>
      <c r="C65" s="52"/>
      <c r="D65" s="52"/>
      <c r="E65" s="52"/>
      <c r="F65" s="52"/>
      <c r="G65" s="52"/>
      <c r="H65" s="36"/>
      <c r="I65" s="36"/>
      <c r="J65" s="36"/>
      <c r="K65" s="58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60"/>
      <c r="AW65" s="24"/>
      <c r="AX65" s="24"/>
      <c r="AY65" s="24"/>
      <c r="AZ65" s="24"/>
      <c r="BA65" s="24"/>
      <c r="BB65" s="24"/>
      <c r="BC65" s="23"/>
      <c r="BD65" s="23"/>
      <c r="BE65" s="23"/>
      <c r="BF65" s="17"/>
      <c r="BG65" s="18"/>
      <c r="BH65" s="19"/>
    </row>
    <row r="66" spans="1:60" x14ac:dyDescent="0.3">
      <c r="A66" s="52" t="s">
        <v>33</v>
      </c>
      <c r="B66" s="52"/>
      <c r="C66" s="52"/>
      <c r="D66" s="52"/>
      <c r="E66" s="52"/>
      <c r="F66" s="52"/>
      <c r="G66" s="52"/>
      <c r="H66" s="36"/>
      <c r="I66" s="36"/>
      <c r="J66" s="36"/>
      <c r="K66" s="37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9"/>
      <c r="AW66" s="24"/>
      <c r="AX66" s="24"/>
      <c r="AY66" s="24"/>
      <c r="AZ66" s="24"/>
      <c r="BA66" s="24"/>
      <c r="BB66" s="24"/>
      <c r="BC66" s="23"/>
      <c r="BD66" s="23"/>
      <c r="BE66" s="23"/>
      <c r="BF66" s="17"/>
      <c r="BG66" s="18"/>
      <c r="BH66" s="19"/>
    </row>
    <row r="67" spans="1:60" x14ac:dyDescent="0.3">
      <c r="A67" s="52"/>
      <c r="B67" s="52"/>
      <c r="C67" s="52"/>
      <c r="D67" s="52"/>
      <c r="E67" s="52"/>
      <c r="F67" s="52"/>
      <c r="G67" s="52"/>
      <c r="H67" s="36"/>
      <c r="I67" s="36"/>
      <c r="J67" s="36"/>
      <c r="K67" s="40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2"/>
      <c r="AW67" s="24"/>
      <c r="AX67" s="24"/>
      <c r="AY67" s="24"/>
      <c r="AZ67" s="24"/>
      <c r="BA67" s="24"/>
      <c r="BB67" s="24"/>
      <c r="BC67" s="23"/>
      <c r="BD67" s="23"/>
      <c r="BE67" s="23"/>
      <c r="BF67" s="17"/>
      <c r="BG67" s="18"/>
      <c r="BH67" s="19"/>
    </row>
    <row r="68" spans="1:60" x14ac:dyDescent="0.3">
      <c r="A68" s="52"/>
      <c r="B68" s="52"/>
      <c r="C68" s="52"/>
      <c r="D68" s="52"/>
      <c r="E68" s="52"/>
      <c r="F68" s="52"/>
      <c r="G68" s="52"/>
      <c r="H68" s="36"/>
      <c r="I68" s="36"/>
      <c r="J68" s="36"/>
      <c r="K68" s="43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5"/>
      <c r="AW68" s="24"/>
      <c r="AX68" s="24"/>
      <c r="AY68" s="24"/>
      <c r="AZ68" s="24"/>
      <c r="BA68" s="24"/>
      <c r="BB68" s="24"/>
      <c r="BC68" s="23"/>
      <c r="BD68" s="23"/>
      <c r="BE68" s="23"/>
      <c r="BF68" s="20"/>
      <c r="BG68" s="21"/>
      <c r="BH68" s="22"/>
    </row>
    <row r="69" spans="1:60" x14ac:dyDescent="0.3">
      <c r="A69" s="35" t="s">
        <v>43</v>
      </c>
      <c r="B69" s="35"/>
      <c r="C69" s="35"/>
      <c r="D69" s="35"/>
      <c r="E69" s="35"/>
      <c r="F69" s="35"/>
      <c r="G69" s="35"/>
      <c r="H69" s="36"/>
      <c r="I69" s="36"/>
      <c r="J69" s="36"/>
      <c r="K69" s="37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4"/>
      <c r="AW69" s="46"/>
      <c r="AX69" s="47"/>
      <c r="AY69" s="47"/>
      <c r="AZ69" s="47"/>
      <c r="BA69" s="47"/>
      <c r="BB69" s="24"/>
      <c r="BC69" s="23"/>
      <c r="BD69" s="23"/>
      <c r="BE69" s="23"/>
      <c r="BF69" s="25">
        <f>BC69*BB69/100</f>
        <v>0</v>
      </c>
      <c r="BG69" s="25"/>
      <c r="BH69" s="25"/>
    </row>
    <row r="70" spans="1:60" x14ac:dyDescent="0.3">
      <c r="A70" s="35"/>
      <c r="B70" s="35"/>
      <c r="C70" s="35"/>
      <c r="D70" s="35"/>
      <c r="E70" s="35"/>
      <c r="F70" s="35"/>
      <c r="G70" s="35"/>
      <c r="H70" s="36"/>
      <c r="I70" s="36"/>
      <c r="J70" s="36"/>
      <c r="K70" s="55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7"/>
      <c r="AW70" s="48"/>
      <c r="AX70" s="49"/>
      <c r="AY70" s="49"/>
      <c r="AZ70" s="49"/>
      <c r="BA70" s="49"/>
      <c r="BB70" s="24"/>
      <c r="BC70" s="23"/>
      <c r="BD70" s="23"/>
      <c r="BE70" s="23"/>
      <c r="BF70" s="25"/>
      <c r="BG70" s="25"/>
      <c r="BH70" s="25"/>
    </row>
    <row r="71" spans="1:60" x14ac:dyDescent="0.3">
      <c r="A71" s="35"/>
      <c r="B71" s="35"/>
      <c r="C71" s="35"/>
      <c r="D71" s="35"/>
      <c r="E71" s="35"/>
      <c r="F71" s="35"/>
      <c r="G71" s="35"/>
      <c r="H71" s="36"/>
      <c r="I71" s="36"/>
      <c r="J71" s="36"/>
      <c r="K71" s="58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60"/>
      <c r="AW71" s="50"/>
      <c r="AX71" s="51"/>
      <c r="AY71" s="51"/>
      <c r="AZ71" s="51"/>
      <c r="BA71" s="51"/>
      <c r="BB71" s="24"/>
      <c r="BC71" s="23"/>
      <c r="BD71" s="23"/>
      <c r="BE71" s="23"/>
      <c r="BF71" s="25"/>
      <c r="BG71" s="25"/>
      <c r="BH71" s="25"/>
    </row>
    <row r="72" spans="1:60" x14ac:dyDescent="0.3">
      <c r="A72" s="35" t="s">
        <v>44</v>
      </c>
      <c r="B72" s="35"/>
      <c r="C72" s="35"/>
      <c r="D72" s="35"/>
      <c r="E72" s="35"/>
      <c r="F72" s="35"/>
      <c r="G72" s="35"/>
      <c r="H72" s="36"/>
      <c r="I72" s="36"/>
      <c r="J72" s="36"/>
      <c r="K72" s="37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9"/>
      <c r="AW72" s="46"/>
      <c r="AX72" s="47"/>
      <c r="AY72" s="47"/>
      <c r="AZ72" s="47"/>
      <c r="BA72" s="47"/>
      <c r="BB72" s="24"/>
      <c r="BC72" s="23"/>
      <c r="BD72" s="23"/>
      <c r="BE72" s="23"/>
      <c r="BF72" s="25">
        <f>BC72*BB72/100</f>
        <v>0</v>
      </c>
      <c r="BG72" s="25"/>
      <c r="BH72" s="25"/>
    </row>
    <row r="73" spans="1:60" x14ac:dyDescent="0.3">
      <c r="A73" s="35"/>
      <c r="B73" s="35"/>
      <c r="C73" s="35"/>
      <c r="D73" s="35"/>
      <c r="E73" s="35"/>
      <c r="F73" s="35"/>
      <c r="G73" s="35"/>
      <c r="H73" s="36"/>
      <c r="I73" s="36"/>
      <c r="J73" s="36"/>
      <c r="K73" s="40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2"/>
      <c r="AW73" s="48"/>
      <c r="AX73" s="49"/>
      <c r="AY73" s="49"/>
      <c r="AZ73" s="49"/>
      <c r="BA73" s="49"/>
      <c r="BB73" s="24"/>
      <c r="BC73" s="23"/>
      <c r="BD73" s="23"/>
      <c r="BE73" s="23"/>
      <c r="BF73" s="25"/>
      <c r="BG73" s="25"/>
      <c r="BH73" s="25"/>
    </row>
    <row r="74" spans="1:60" x14ac:dyDescent="0.3">
      <c r="A74" s="35"/>
      <c r="B74" s="35"/>
      <c r="C74" s="35"/>
      <c r="D74" s="35"/>
      <c r="E74" s="35"/>
      <c r="F74" s="35"/>
      <c r="G74" s="35"/>
      <c r="H74" s="36"/>
      <c r="I74" s="36"/>
      <c r="J74" s="36"/>
      <c r="K74" s="43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5"/>
      <c r="AW74" s="50"/>
      <c r="AX74" s="51"/>
      <c r="AY74" s="51"/>
      <c r="AZ74" s="51"/>
      <c r="BA74" s="51"/>
      <c r="BB74" s="24"/>
      <c r="BC74" s="23"/>
      <c r="BD74" s="23"/>
      <c r="BE74" s="23"/>
      <c r="BF74" s="25"/>
      <c r="BG74" s="25"/>
      <c r="BH74" s="25"/>
    </row>
    <row r="75" spans="1:60" x14ac:dyDescent="0.3">
      <c r="A75" s="35" t="s">
        <v>45</v>
      </c>
      <c r="B75" s="35"/>
      <c r="C75" s="35"/>
      <c r="D75" s="35"/>
      <c r="E75" s="35"/>
      <c r="F75" s="35"/>
      <c r="G75" s="35"/>
      <c r="H75" s="36"/>
      <c r="I75" s="36"/>
      <c r="J75" s="36"/>
      <c r="K75" s="37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9"/>
      <c r="AW75" s="46"/>
      <c r="AX75" s="47"/>
      <c r="AY75" s="47"/>
      <c r="AZ75" s="47"/>
      <c r="BA75" s="47"/>
      <c r="BB75" s="24"/>
      <c r="BC75" s="23"/>
      <c r="BD75" s="23"/>
      <c r="BE75" s="23"/>
      <c r="BF75" s="25">
        <f>BC75*BB75/100</f>
        <v>0</v>
      </c>
      <c r="BG75" s="25"/>
      <c r="BH75" s="25"/>
    </row>
    <row r="76" spans="1:60" x14ac:dyDescent="0.3">
      <c r="A76" s="35"/>
      <c r="B76" s="35"/>
      <c r="C76" s="35"/>
      <c r="D76" s="35"/>
      <c r="E76" s="35"/>
      <c r="F76" s="35"/>
      <c r="G76" s="35"/>
      <c r="H76" s="36"/>
      <c r="I76" s="36"/>
      <c r="J76" s="36"/>
      <c r="K76" s="40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2"/>
      <c r="AW76" s="48"/>
      <c r="AX76" s="49"/>
      <c r="AY76" s="49"/>
      <c r="AZ76" s="49"/>
      <c r="BA76" s="49"/>
      <c r="BB76" s="24"/>
      <c r="BC76" s="23"/>
      <c r="BD76" s="23"/>
      <c r="BE76" s="23"/>
      <c r="BF76" s="25"/>
      <c r="BG76" s="25"/>
      <c r="BH76" s="25"/>
    </row>
    <row r="77" spans="1:60" x14ac:dyDescent="0.3">
      <c r="A77" s="35"/>
      <c r="B77" s="35"/>
      <c r="C77" s="35"/>
      <c r="D77" s="35"/>
      <c r="E77" s="35"/>
      <c r="F77" s="35"/>
      <c r="G77" s="35"/>
      <c r="H77" s="36"/>
      <c r="I77" s="36"/>
      <c r="J77" s="36"/>
      <c r="K77" s="43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5"/>
      <c r="AW77" s="50"/>
      <c r="AX77" s="51"/>
      <c r="AY77" s="51"/>
      <c r="AZ77" s="51"/>
      <c r="BA77" s="51"/>
      <c r="BB77" s="24"/>
      <c r="BC77" s="23"/>
      <c r="BD77" s="23"/>
      <c r="BE77" s="23"/>
      <c r="BF77" s="25"/>
      <c r="BG77" s="25"/>
      <c r="BH77" s="25"/>
    </row>
    <row r="78" spans="1:60" x14ac:dyDescent="0.3">
      <c r="A78" s="35" t="s">
        <v>46</v>
      </c>
      <c r="B78" s="35"/>
      <c r="C78" s="35"/>
      <c r="D78" s="35"/>
      <c r="E78" s="35"/>
      <c r="F78" s="35"/>
      <c r="G78" s="35"/>
      <c r="H78" s="36"/>
      <c r="I78" s="36"/>
      <c r="J78" s="36"/>
      <c r="K78" s="37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9"/>
      <c r="AW78" s="46"/>
      <c r="AX78" s="47"/>
      <c r="AY78" s="47"/>
      <c r="AZ78" s="47"/>
      <c r="BA78" s="47"/>
      <c r="BB78" s="24"/>
      <c r="BC78" s="23"/>
      <c r="BD78" s="23"/>
      <c r="BE78" s="23"/>
      <c r="BF78" s="25">
        <f>BC78*BB78/100</f>
        <v>0</v>
      </c>
      <c r="BG78" s="25"/>
      <c r="BH78" s="25"/>
    </row>
    <row r="79" spans="1:60" x14ac:dyDescent="0.3">
      <c r="A79" s="35"/>
      <c r="B79" s="35"/>
      <c r="C79" s="35"/>
      <c r="D79" s="35"/>
      <c r="E79" s="35"/>
      <c r="F79" s="35"/>
      <c r="G79" s="35"/>
      <c r="H79" s="36"/>
      <c r="I79" s="36"/>
      <c r="J79" s="36"/>
      <c r="K79" s="40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2"/>
      <c r="AW79" s="48"/>
      <c r="AX79" s="49"/>
      <c r="AY79" s="49"/>
      <c r="AZ79" s="49"/>
      <c r="BA79" s="49"/>
      <c r="BB79" s="24"/>
      <c r="BC79" s="23"/>
      <c r="BD79" s="23"/>
      <c r="BE79" s="23"/>
      <c r="BF79" s="25"/>
      <c r="BG79" s="25"/>
      <c r="BH79" s="25"/>
    </row>
    <row r="80" spans="1:60" x14ac:dyDescent="0.3">
      <c r="A80" s="35"/>
      <c r="B80" s="35"/>
      <c r="C80" s="35"/>
      <c r="D80" s="35"/>
      <c r="E80" s="35"/>
      <c r="F80" s="35"/>
      <c r="G80" s="35"/>
      <c r="H80" s="36"/>
      <c r="I80" s="36"/>
      <c r="J80" s="36"/>
      <c r="K80" s="43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5"/>
      <c r="AW80" s="50"/>
      <c r="AX80" s="51"/>
      <c r="AY80" s="51"/>
      <c r="AZ80" s="51"/>
      <c r="BA80" s="51"/>
      <c r="BB80" s="24"/>
      <c r="BC80" s="23"/>
      <c r="BD80" s="23"/>
      <c r="BE80" s="23"/>
      <c r="BF80" s="25"/>
      <c r="BG80" s="25"/>
      <c r="BH80" s="25"/>
    </row>
    <row r="81" spans="1:60" x14ac:dyDescent="0.3">
      <c r="A81" s="35" t="s">
        <v>47</v>
      </c>
      <c r="B81" s="35"/>
      <c r="C81" s="35"/>
      <c r="D81" s="35"/>
      <c r="E81" s="35"/>
      <c r="F81" s="35"/>
      <c r="G81" s="35"/>
      <c r="H81" s="36"/>
      <c r="I81" s="36"/>
      <c r="J81" s="36"/>
      <c r="K81" s="37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9"/>
      <c r="AW81" s="46"/>
      <c r="AX81" s="47"/>
      <c r="AY81" s="47"/>
      <c r="AZ81" s="47"/>
      <c r="BA81" s="47"/>
      <c r="BB81" s="24"/>
      <c r="BC81" s="23"/>
      <c r="BD81" s="23"/>
      <c r="BE81" s="23"/>
      <c r="BF81" s="25">
        <f>BC81*BB81/100</f>
        <v>0</v>
      </c>
      <c r="BG81" s="25"/>
      <c r="BH81" s="25"/>
    </row>
    <row r="82" spans="1:60" x14ac:dyDescent="0.3">
      <c r="A82" s="35"/>
      <c r="B82" s="35"/>
      <c r="C82" s="35"/>
      <c r="D82" s="35"/>
      <c r="E82" s="35"/>
      <c r="F82" s="35"/>
      <c r="G82" s="35"/>
      <c r="H82" s="36"/>
      <c r="I82" s="36"/>
      <c r="J82" s="36"/>
      <c r="K82" s="40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2"/>
      <c r="AW82" s="48"/>
      <c r="AX82" s="49"/>
      <c r="AY82" s="49"/>
      <c r="AZ82" s="49"/>
      <c r="BA82" s="49"/>
      <c r="BB82" s="24"/>
      <c r="BC82" s="23"/>
      <c r="BD82" s="23"/>
      <c r="BE82" s="23"/>
      <c r="BF82" s="25"/>
      <c r="BG82" s="25"/>
      <c r="BH82" s="25"/>
    </row>
    <row r="83" spans="1:60" x14ac:dyDescent="0.3">
      <c r="A83" s="35"/>
      <c r="B83" s="35"/>
      <c r="C83" s="35"/>
      <c r="D83" s="35"/>
      <c r="E83" s="35"/>
      <c r="F83" s="35"/>
      <c r="G83" s="35"/>
      <c r="H83" s="36"/>
      <c r="I83" s="36"/>
      <c r="J83" s="36"/>
      <c r="K83" s="43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5"/>
      <c r="AW83" s="50"/>
      <c r="AX83" s="51"/>
      <c r="AY83" s="51"/>
      <c r="AZ83" s="51"/>
      <c r="BA83" s="51"/>
      <c r="BB83" s="24"/>
      <c r="BC83" s="23"/>
      <c r="BD83" s="23"/>
      <c r="BE83" s="23"/>
      <c r="BF83" s="25"/>
      <c r="BG83" s="25"/>
      <c r="BH83" s="25"/>
    </row>
    <row r="84" spans="1:60" x14ac:dyDescent="0.3">
      <c r="A84" s="32" t="s">
        <v>34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</row>
    <row r="86" spans="1:60" x14ac:dyDescent="0.3">
      <c r="D86" s="33" t="s">
        <v>36</v>
      </c>
      <c r="E86" s="33"/>
      <c r="F86" s="33"/>
      <c r="G86" s="33"/>
      <c r="H86" s="33"/>
      <c r="I86" s="33"/>
      <c r="J86" s="33"/>
      <c r="K86" s="34" t="s">
        <v>35</v>
      </c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</row>
  </sheetData>
  <sheetProtection formatColumns="0" formatRows="0" insertColumns="0" insertHyperlinks="0" deleteColumns="0" deleteRows="0" autoFilter="0" pivotTables="0"/>
  <protectedRanges>
    <protectedRange password="8B61" sqref="A1:BH76" name="pa8b901a697f7f5ba3cc6a6c8ce1bbd1f"/>
  </protectedRanges>
  <mergeCells count="183">
    <mergeCell ref="M9:BA9"/>
    <mergeCell ref="BF36:BH44"/>
    <mergeCell ref="BC27:BE29"/>
    <mergeCell ref="BF27:BH35"/>
    <mergeCell ref="A30:G32"/>
    <mergeCell ref="H30:J32"/>
    <mergeCell ref="K30:AV32"/>
    <mergeCell ref="AW30:BA32"/>
    <mergeCell ref="BC30:BE32"/>
    <mergeCell ref="A42:G44"/>
    <mergeCell ref="AW33:BA35"/>
    <mergeCell ref="A45:G47"/>
    <mergeCell ref="H45:J47"/>
    <mergeCell ref="A24:G26"/>
    <mergeCell ref="H24:J26"/>
    <mergeCell ref="K24:AV26"/>
    <mergeCell ref="AW24:BA26"/>
    <mergeCell ref="BC24:BE26"/>
    <mergeCell ref="A27:G29"/>
    <mergeCell ref="H27:J29"/>
    <mergeCell ref="K27:AV29"/>
    <mergeCell ref="AW27:BA29"/>
    <mergeCell ref="K45:AV47"/>
    <mergeCell ref="AW45:BA47"/>
    <mergeCell ref="H39:J41"/>
    <mergeCell ref="BC39:BE41"/>
    <mergeCell ref="BB42:BB44"/>
    <mergeCell ref="BB45:BB47"/>
    <mergeCell ref="H42:J44"/>
    <mergeCell ref="K42:AV44"/>
    <mergeCell ref="AW42:BA44"/>
    <mergeCell ref="AW36:BA38"/>
    <mergeCell ref="BB48:BB50"/>
    <mergeCell ref="BB39:BB41"/>
    <mergeCell ref="AW48:BA50"/>
    <mergeCell ref="H48:J50"/>
    <mergeCell ref="K48:AV50"/>
    <mergeCell ref="BC48:BE50"/>
    <mergeCell ref="BC45:BE47"/>
    <mergeCell ref="K39:AV41"/>
    <mergeCell ref="AW39:BA41"/>
    <mergeCell ref="A15:G17"/>
    <mergeCell ref="H15:J17"/>
    <mergeCell ref="K15:AV17"/>
    <mergeCell ref="AW15:BA17"/>
    <mergeCell ref="D12:I12"/>
    <mergeCell ref="N12:T12"/>
    <mergeCell ref="P13:Y13"/>
    <mergeCell ref="Z13:AG13"/>
    <mergeCell ref="AH13:AQ13"/>
    <mergeCell ref="AR13:BA13"/>
    <mergeCell ref="AW21:BA23"/>
    <mergeCell ref="H18:J20"/>
    <mergeCell ref="K18:AV20"/>
    <mergeCell ref="AW18:BA20"/>
    <mergeCell ref="A51:G53"/>
    <mergeCell ref="H51:J53"/>
    <mergeCell ref="K51:AV53"/>
    <mergeCell ref="AW51:BA53"/>
    <mergeCell ref="BC51:BE53"/>
    <mergeCell ref="BB18:BB20"/>
    <mergeCell ref="BB21:BB23"/>
    <mergeCell ref="BB24:BB26"/>
    <mergeCell ref="A33:G35"/>
    <mergeCell ref="H33:J35"/>
    <mergeCell ref="K33:AV35"/>
    <mergeCell ref="A18:G20"/>
    <mergeCell ref="A21:G23"/>
    <mergeCell ref="H21:J23"/>
    <mergeCell ref="K21:AV23"/>
    <mergeCell ref="A48:G50"/>
    <mergeCell ref="A36:G38"/>
    <mergeCell ref="H36:J38"/>
    <mergeCell ref="K36:AV38"/>
    <mergeCell ref="A39:G41"/>
    <mergeCell ref="BC4:BH5"/>
    <mergeCell ref="BC6:BH7"/>
    <mergeCell ref="H1:BA2"/>
    <mergeCell ref="H3:BA4"/>
    <mergeCell ref="H5:BA5"/>
    <mergeCell ref="BC1:BH3"/>
    <mergeCell ref="BF14:BH14"/>
    <mergeCell ref="K14:AV14"/>
    <mergeCell ref="BC8:BH13"/>
    <mergeCell ref="A9:L9"/>
    <mergeCell ref="AA11:AG11"/>
    <mergeCell ref="A11:L11"/>
    <mergeCell ref="M11:U11"/>
    <mergeCell ref="A14:G14"/>
    <mergeCell ref="H14:J14"/>
    <mergeCell ref="AW14:BA14"/>
    <mergeCell ref="BC14:BE14"/>
    <mergeCell ref="AL11:BB11"/>
    <mergeCell ref="A13:J13"/>
    <mergeCell ref="K13:O13"/>
    <mergeCell ref="H6:AS7"/>
    <mergeCell ref="AT6:BA7"/>
    <mergeCell ref="A1:G7"/>
    <mergeCell ref="A66:G68"/>
    <mergeCell ref="H66:J68"/>
    <mergeCell ref="K66:AV68"/>
    <mergeCell ref="AW66:BA68"/>
    <mergeCell ref="H57:J59"/>
    <mergeCell ref="BC60:BE62"/>
    <mergeCell ref="A63:G65"/>
    <mergeCell ref="BB54:BB56"/>
    <mergeCell ref="BC54:BE56"/>
    <mergeCell ref="H63:J65"/>
    <mergeCell ref="K63:AV65"/>
    <mergeCell ref="AW63:BA65"/>
    <mergeCell ref="AW57:BA59"/>
    <mergeCell ref="K78:AV80"/>
    <mergeCell ref="AW78:BA80"/>
    <mergeCell ref="BC78:BE80"/>
    <mergeCell ref="BB69:BB71"/>
    <mergeCell ref="BB72:BB74"/>
    <mergeCell ref="K81:AV83"/>
    <mergeCell ref="A54:G56"/>
    <mergeCell ref="H54:J56"/>
    <mergeCell ref="K54:AV56"/>
    <mergeCell ref="AW54:BA56"/>
    <mergeCell ref="A60:G62"/>
    <mergeCell ref="H60:J62"/>
    <mergeCell ref="K60:AV62"/>
    <mergeCell ref="AW60:BA62"/>
    <mergeCell ref="A57:G59"/>
    <mergeCell ref="BB57:BB59"/>
    <mergeCell ref="A69:G71"/>
    <mergeCell ref="H69:J71"/>
    <mergeCell ref="K69:AV71"/>
    <mergeCell ref="AW69:BA71"/>
    <mergeCell ref="BC69:BE71"/>
    <mergeCell ref="K57:AV59"/>
    <mergeCell ref="BB75:BB77"/>
    <mergeCell ref="BC66:BE68"/>
    <mergeCell ref="A84:BH84"/>
    <mergeCell ref="D86:J86"/>
    <mergeCell ref="K86:AK86"/>
    <mergeCell ref="BF72:BH74"/>
    <mergeCell ref="A75:G77"/>
    <mergeCell ref="H75:J77"/>
    <mergeCell ref="K75:AV77"/>
    <mergeCell ref="AW75:BA77"/>
    <mergeCell ref="BC75:BE77"/>
    <mergeCell ref="BF75:BH77"/>
    <mergeCell ref="A72:G74"/>
    <mergeCell ref="H72:J74"/>
    <mergeCell ref="K72:AV74"/>
    <mergeCell ref="AW72:BA74"/>
    <mergeCell ref="BB78:BB80"/>
    <mergeCell ref="BB81:BB83"/>
    <mergeCell ref="BF78:BH80"/>
    <mergeCell ref="BF81:BH83"/>
    <mergeCell ref="A81:G83"/>
    <mergeCell ref="H81:J83"/>
    <mergeCell ref="AW81:BA83"/>
    <mergeCell ref="BC81:BE83"/>
    <mergeCell ref="A78:G80"/>
    <mergeCell ref="H78:J80"/>
    <mergeCell ref="BF15:BH26"/>
    <mergeCell ref="BC15:BE17"/>
    <mergeCell ref="BC18:BE20"/>
    <mergeCell ref="BC21:BE23"/>
    <mergeCell ref="BB27:BB29"/>
    <mergeCell ref="BF45:BH47"/>
    <mergeCell ref="BF48:BH53"/>
    <mergeCell ref="BF57:BH68"/>
    <mergeCell ref="BC72:BE74"/>
    <mergeCell ref="BF69:BH71"/>
    <mergeCell ref="BB60:BB62"/>
    <mergeCell ref="BB63:BB65"/>
    <mergeCell ref="BB66:BB68"/>
    <mergeCell ref="BC63:BE65"/>
    <mergeCell ref="BC57:BE59"/>
    <mergeCell ref="BF54:BH56"/>
    <mergeCell ref="BB51:BB53"/>
    <mergeCell ref="BB30:BB32"/>
    <mergeCell ref="BB33:BB35"/>
    <mergeCell ref="BB36:BB38"/>
    <mergeCell ref="BC36:BE38"/>
    <mergeCell ref="BC33:BE35"/>
    <mergeCell ref="BC42:BE44"/>
    <mergeCell ref="BB15:BB17"/>
  </mergeCells>
  <conditionalFormatting sqref="BC15:BF15 BC16:BE26">
    <cfRule type="cellIs" dxfId="15" priority="17" operator="lessThan">
      <formula>3</formula>
    </cfRule>
    <cfRule type="cellIs" dxfId="14" priority="18" operator="lessThan">
      <formula>3</formula>
    </cfRule>
  </conditionalFormatting>
  <conditionalFormatting sqref="BC27:BF27 BC28:BE35">
    <cfRule type="cellIs" dxfId="13" priority="19" operator="lessThan">
      <formula>3</formula>
    </cfRule>
    <cfRule type="cellIs" dxfId="12" priority="20" operator="lessThan">
      <formula>3</formula>
    </cfRule>
  </conditionalFormatting>
  <conditionalFormatting sqref="BC36:BF36 BC37:BE44">
    <cfRule type="cellIs" dxfId="11" priority="21" operator="lessThan">
      <formula>3</formula>
    </cfRule>
    <cfRule type="cellIs" dxfId="10" priority="22" operator="lessThan">
      <formula>3</formula>
    </cfRule>
  </conditionalFormatting>
  <conditionalFormatting sqref="BC48:BF48 BC49:BE53">
    <cfRule type="cellIs" dxfId="9" priority="15" operator="lessThan">
      <formula>3</formula>
    </cfRule>
    <cfRule type="cellIs" dxfId="8" priority="16" operator="lessThan">
      <formula>3</formula>
    </cfRule>
  </conditionalFormatting>
  <conditionalFormatting sqref="BC57:BF57 BC58:BE68">
    <cfRule type="cellIs" dxfId="7" priority="11" operator="lessThan">
      <formula>3</formula>
    </cfRule>
    <cfRule type="cellIs" dxfId="6" priority="12" operator="lessThan">
      <formula>3</formula>
    </cfRule>
  </conditionalFormatting>
  <conditionalFormatting sqref="BC45:BH47">
    <cfRule type="cellIs" dxfId="5" priority="23" operator="lessThan">
      <formula>3</formula>
    </cfRule>
    <cfRule type="cellIs" dxfId="4" priority="24" operator="lessThan">
      <formula>3</formula>
    </cfRule>
  </conditionalFormatting>
  <conditionalFormatting sqref="BC54:BH56">
    <cfRule type="cellIs" dxfId="3" priority="13" operator="lessThan">
      <formula>3</formula>
    </cfRule>
    <cfRule type="cellIs" dxfId="2" priority="14" operator="lessThan">
      <formula>3</formula>
    </cfRule>
  </conditionalFormatting>
  <conditionalFormatting sqref="BC69:BH83">
    <cfRule type="cellIs" dxfId="1" priority="1" operator="lessThan">
      <formula>3</formula>
    </cfRule>
    <cfRule type="cellIs" dxfId="0" priority="2" operator="lessThan">
      <formula>3</formula>
    </cfRule>
  </conditionalFormatting>
  <printOptions horizontalCentered="1" verticalCentered="1"/>
  <pageMargins left="1.0236220472440944" right="0.23622047244094491" top="0.74803149606299213" bottom="0.74803149606299213" header="0.31496062992125984" footer="0.31496062992125984"/>
  <pageSetup paperSize="5" scale="78" orientation="portrait" r:id="rId1"/>
  <headerFooter scaleWithDoc="0" alignWithMargins="0">
    <oddFooter>&amp;CTELEFONOS: SECRETARÍA 3146610344 e-mail iedeoccidente@sedcaldas.gov.co
Cr 5 11-19 ANSERMA CALDAS ZIP: 177080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8</vt:i4>
      </vt:variant>
    </vt:vector>
  </HeadingPairs>
  <TitlesOfParts>
    <vt:vector size="9" baseType="lpstr">
      <vt:lpstr>Hoja1</vt:lpstr>
      <vt:lpstr>director</vt:lpstr>
      <vt:lpstr>pgrupo</vt:lpstr>
      <vt:lpstr>pie</vt:lpstr>
      <vt:lpstr>ppgrupo</vt:lpstr>
      <vt:lpstr>Hoja1!Print_Area</vt:lpstr>
      <vt:lpstr>promedio</vt:lpstr>
      <vt:lpstr>tdirector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 E DE OCCIDENTE</dc:creator>
  <cp:keywords/>
  <dc:description/>
  <cp:lastModifiedBy>coloccidente@hotmail.com Anserma</cp:lastModifiedBy>
  <cp:lastPrinted>2021-11-24T21:54:13Z</cp:lastPrinted>
  <dcterms:created xsi:type="dcterms:W3CDTF">2011-09-20T20:19:06Z</dcterms:created>
  <dcterms:modified xsi:type="dcterms:W3CDTF">2023-11-21T19:11:46Z</dcterms:modified>
  <cp:category/>
</cp:coreProperties>
</file>