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RETARIAPC\Downloads\"/>
    </mc:Choice>
  </mc:AlternateContent>
  <xr:revisionPtr revIDLastSave="0" documentId="13_ncr:1_{9FF4C339-CF29-498A-854C-38C5579F90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Hoja1!$A$1:$BH$55</definedName>
    <definedName name="director">Hoja1!$K$51</definedName>
    <definedName name="pgrupo">Hoja1!$K$13</definedName>
    <definedName name="pie">Hoja1!$Z$13</definedName>
    <definedName name="promedio">Hoja1!$AQ$13</definedName>
    <definedName name="tdirector">Hoja1!$B$51</definedName>
    <definedName name="YEAR">Hoja1!$O$12</definedName>
  </definedNames>
  <calcPr calcId="191029"/>
</workbook>
</file>

<file path=xl/calcChain.xml><?xml version="1.0" encoding="utf-8"?>
<calcChain xmlns="http://schemas.openxmlformats.org/spreadsheetml/2006/main">
  <c r="BF34" i="1" l="1"/>
  <c r="BB13" i="1" l="1"/>
  <c r="BF24" i="1"/>
  <c r="BF18" i="1" l="1"/>
  <c r="BF15" i="1"/>
  <c r="BF32" i="1" l="1"/>
  <c r="BF46" i="1"/>
  <c r="BF43" i="1"/>
  <c r="BF40" i="1"/>
  <c r="BF29" i="1"/>
  <c r="BF27" i="1"/>
</calcChain>
</file>

<file path=xl/sharedStrings.xml><?xml version="1.0" encoding="utf-8"?>
<sst xmlns="http://schemas.openxmlformats.org/spreadsheetml/2006/main" count="39" uniqueCount="39">
  <si>
    <t>NIT 890802641-2  DANE 117042000561</t>
  </si>
  <si>
    <t>DEPENDENCIA</t>
  </si>
  <si>
    <t>Página:1-1
Código:
GAFMR-40-05</t>
  </si>
  <si>
    <t>SECRETARIA</t>
  </si>
  <si>
    <t>Nombre del estudiante</t>
  </si>
  <si>
    <t>Grado</t>
  </si>
  <si>
    <t>AREAS</t>
  </si>
  <si>
    <t>INAS</t>
  </si>
  <si>
    <t>INFORME DESCRIPTIVO</t>
  </si>
  <si>
    <t>DESEMPEÑO</t>
  </si>
  <si>
    <t>VALOR</t>
  </si>
  <si>
    <t>SEDE</t>
  </si>
  <si>
    <t>E. ETICA Y EN VALORES HUMANOS</t>
  </si>
  <si>
    <t>E. FISICA, RECREACION Y DEPORTES</t>
  </si>
  <si>
    <t>HUMANIDADES Lengua Castellana</t>
  </si>
  <si>
    <t>Inglés</t>
  </si>
  <si>
    <t>Comportamiento</t>
  </si>
  <si>
    <t>ABREVIATURAS: INAS: inasistencia – DESEMPEÑO: valoración - SUPERIOR: Des. Superior (4.6 A 5.0)- ALTO: Des. Alto (4.0 A 4.5)- BASICO: Des. Basico(3.0 A 3.9) - BAJO: Des. Bajo(1.0 A 2.9)</t>
  </si>
  <si>
    <t>RELIGION</t>
  </si>
  <si>
    <t>Civica</t>
  </si>
  <si>
    <t>EDUCACION ARTISTICA</t>
  </si>
  <si>
    <t>Puesto Grupo</t>
  </si>
  <si>
    <t>Puesto I.E.</t>
  </si>
  <si>
    <t>KELLY YHOANA GIRALDO PINEDA</t>
  </si>
  <si>
    <t>INFORME</t>
  </si>
  <si>
    <t>5A</t>
  </si>
  <si>
    <t>SUCRE</t>
  </si>
  <si>
    <t>V.:02
26/01/2012</t>
  </si>
  <si>
    <t>SECRETARÍA DE EDUCACION DEPARTAMENTAL</t>
  </si>
  <si>
    <t>INSTITUCIÓN EDUCATIVA DE OCCIDENTE</t>
  </si>
  <si>
    <t>%</t>
  </si>
  <si>
    <t>DEF</t>
  </si>
  <si>
    <t>Director(a) de Grupo</t>
  </si>
  <si>
    <t>Promedio</t>
  </si>
  <si>
    <t xml:space="preserve">CIENCIAS NATURALES </t>
  </si>
  <si>
    <t xml:space="preserve">CIENCIAS SOCIALES </t>
  </si>
  <si>
    <t>MATEMÁTICAS</t>
  </si>
  <si>
    <t>TECNOLOGÍA E INFORMATICA</t>
  </si>
  <si>
    <t>INFORME DE DESEMPEÑOS ACADÉMICOS POR PERIODOS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</si>
</sst>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Arial"/>
      <family val="2"/>
    </font>
    <font>
      <sz val="7.8"/>
      <color theme="1"/>
      <name val="Arial"/>
      <family val="2"/>
    </font>
    <font>
      <sz val="6"/>
      <color theme="1"/>
      <name val="Arial"/>
      <family val="2"/>
    </font>
    <font>
      <b/>
      <sz val="9"/>
      <color theme="0"/>
      <name val="Arial"/>
      <family val="2"/>
    </font>
    <font>
      <sz val="6"/>
      <color theme="1"/>
      <name val="Calibri"/>
      <family val="2"/>
      <scheme val="minor"/>
    </font>
    <font>
      <b/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1"/>
      <color theme="0"/>
      <name val="Calibri"/>
      <family val="2"/>
      <scheme val="minor"/>
    </font>
    <font>
      <b/>
      <sz val="16"/>
      <color theme="1"/>
      <name val="Arial"/>
      <family val="2"/>
    </font>
    <font>
      <i/>
      <sz val="8"/>
      <color theme="1"/>
      <name val="Arial"/>
      <family val="2"/>
    </font>
    <font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7" fillId="0" borderId="6" xfId="0" applyFont="1" applyBorder="1"/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3" xfId="0" applyFont="1" applyBorder="1"/>
    <xf numFmtId="0" fontId="3" fillId="0" borderId="0" xfId="0" applyFont="1"/>
    <xf numFmtId="0" fontId="7" fillId="0" borderId="8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0" fontId="3" fillId="0" borderId="0" xfId="0" applyFont="1"/>
    <xf numFmtId="0" fontId="3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left" wrapText="1"/>
    </xf>
    <xf numFmtId="2" fontId="2" fillId="0" borderId="3" xfId="0" applyNumberFormat="1" applyFont="1" applyBorder="1" applyAlignment="1">
      <alignment horizontal="left" wrapText="1"/>
    </xf>
    <xf numFmtId="2" fontId="2" fillId="0" borderId="4" xfId="0" applyNumberFormat="1" applyFont="1" applyBorder="1" applyAlignment="1">
      <alignment horizontal="left" wrapText="1"/>
    </xf>
    <xf numFmtId="2" fontId="2" fillId="0" borderId="5" xfId="0" applyNumberFormat="1" applyFont="1" applyBorder="1" applyAlignment="1">
      <alignment horizontal="left" wrapText="1"/>
    </xf>
    <xf numFmtId="2" fontId="2" fillId="0" borderId="0" xfId="0" applyNumberFormat="1" applyFont="1" applyAlignment="1">
      <alignment horizontal="left" wrapText="1"/>
    </xf>
    <xf numFmtId="2" fontId="2" fillId="0" borderId="6" xfId="0" applyNumberFormat="1" applyFont="1" applyBorder="1" applyAlignment="1">
      <alignment horizontal="left" wrapText="1"/>
    </xf>
    <xf numFmtId="2" fontId="2" fillId="0" borderId="7" xfId="0" applyNumberFormat="1" applyFont="1" applyBorder="1" applyAlignment="1">
      <alignment horizontal="left" wrapText="1"/>
    </xf>
    <xf numFmtId="2" fontId="2" fillId="0" borderId="8" xfId="0" applyNumberFormat="1" applyFont="1" applyBorder="1" applyAlignment="1">
      <alignment horizontal="left" wrapText="1"/>
    </xf>
    <xf numFmtId="2" fontId="2" fillId="0" borderId="9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justify" vertical="top" wrapText="1"/>
    </xf>
    <xf numFmtId="0" fontId="5" fillId="0" borderId="4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justify" vertical="top" wrapText="1"/>
    </xf>
    <xf numFmtId="0" fontId="5" fillId="0" borderId="0" xfId="0" applyFont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7" xfId="0" applyFont="1" applyBorder="1" applyAlignment="1">
      <alignment horizontal="justify" vertical="top" wrapText="1"/>
    </xf>
    <xf numFmtId="0" fontId="5" fillId="0" borderId="8" xfId="0" applyFont="1" applyBorder="1" applyAlignment="1">
      <alignment horizontal="justify" vertical="top" wrapText="1"/>
    </xf>
    <xf numFmtId="0" fontId="5" fillId="0" borderId="9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/>
    </xf>
    <xf numFmtId="0" fontId="5" fillId="0" borderId="3" xfId="0" applyFont="1" applyBorder="1" applyAlignment="1">
      <alignment horizontal="justify" vertical="top"/>
    </xf>
    <xf numFmtId="0" fontId="5" fillId="0" borderId="4" xfId="0" applyFont="1" applyBorder="1" applyAlignment="1">
      <alignment horizontal="justify" vertical="top"/>
    </xf>
    <xf numFmtId="0" fontId="5" fillId="0" borderId="5" xfId="0" applyFont="1" applyBorder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5" fillId="0" borderId="6" xfId="0" applyFont="1" applyBorder="1" applyAlignment="1">
      <alignment horizontal="justify" vertical="top"/>
    </xf>
    <xf numFmtId="0" fontId="5" fillId="0" borderId="7" xfId="0" applyFont="1" applyBorder="1" applyAlignment="1">
      <alignment horizontal="justify" vertical="top"/>
    </xf>
    <xf numFmtId="0" fontId="5" fillId="0" borderId="8" xfId="0" applyFont="1" applyBorder="1" applyAlignment="1">
      <alignment horizontal="justify" vertical="top"/>
    </xf>
    <xf numFmtId="0" fontId="5" fillId="0" borderId="9" xfId="0" applyFont="1" applyBorder="1" applyAlignment="1">
      <alignment horizontal="justify" vertical="top"/>
    </xf>
    <xf numFmtId="0" fontId="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justify" vertical="top" wrapText="1"/>
    </xf>
    <xf numFmtId="0" fontId="12" fillId="0" borderId="4" xfId="0" applyFont="1" applyBorder="1" applyAlignment="1">
      <alignment horizontal="justify" vertical="top" wrapText="1"/>
    </xf>
    <xf numFmtId="0" fontId="12" fillId="0" borderId="5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2" fillId="0" borderId="7" xfId="0" applyFont="1" applyBorder="1" applyAlignment="1">
      <alignment horizontal="justify" vertical="top" wrapText="1"/>
    </xf>
    <xf numFmtId="0" fontId="12" fillId="0" borderId="8" xfId="0" applyFont="1" applyBorder="1" applyAlignment="1">
      <alignment horizontal="justify" vertical="top" wrapText="1"/>
    </xf>
    <xf numFmtId="0" fontId="12" fillId="0" borderId="9" xfId="0" applyFont="1" applyBorder="1" applyAlignment="1">
      <alignment horizontal="justify" vertical="top" wrapText="1"/>
    </xf>
    <xf numFmtId="0" fontId="6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17"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1</xdr:row>
      <xdr:rowOff>19051</xdr:rowOff>
    </xdr:from>
    <xdr:to>
      <xdr:col>6</xdr:col>
      <xdr:colOff>10791</xdr:colOff>
      <xdr:row>5</xdr:row>
      <xdr:rowOff>131381</xdr:rowOff>
    </xdr:to>
    <xdr:pic>
      <xdr:nvPicPr>
        <xdr:cNvPr id="4" name="3 Imagen" descr="Escudo Colegio Occidente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4" y="163568"/>
          <a:ext cx="652908" cy="834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5"/>
  <sheetViews>
    <sheetView tabSelected="1" view="pageBreakPreview" zoomScale="145" zoomScaleSheetLayoutView="145" workbookViewId="0">
      <selection activeCell="M9" sqref="M9:BA9"/>
    </sheetView>
  </sheetViews>
  <sheetFormatPr baseColWidth="10" defaultColWidth="1.6640625" defaultRowHeight="12" x14ac:dyDescent="0.25"/>
  <cols>
    <col min="1" max="1" width="1.6640625" style="4"/>
    <col min="2" max="2" width="2" style="4" customWidth="1"/>
    <col min="3" max="6" width="1.6640625" style="4"/>
    <col min="7" max="7" width="0.6640625" style="4" customWidth="1"/>
    <col min="8" max="9" width="1.6640625" style="4"/>
    <col min="10" max="10" width="0.6640625" style="4" hidden="1" customWidth="1"/>
    <col min="11" max="48" width="1.6640625" style="4"/>
    <col min="49" max="49" width="1.6640625" style="4" customWidth="1"/>
    <col min="50" max="52" width="1.6640625" style="4"/>
    <col min="53" max="53" width="1.44140625" style="4" customWidth="1"/>
    <col min="54" max="54" width="3.6640625" style="4" customWidth="1"/>
    <col min="55" max="16384" width="1.6640625" style="4"/>
  </cols>
  <sheetData>
    <row r="1" spans="1:60" ht="11.25" customHeight="1" x14ac:dyDescent="0.3">
      <c r="A1" s="24"/>
      <c r="B1" s="24"/>
      <c r="C1" s="24"/>
      <c r="D1" s="24"/>
      <c r="E1" s="24"/>
      <c r="F1" s="24"/>
      <c r="G1" s="24"/>
      <c r="H1" s="27" t="s">
        <v>28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11"/>
      <c r="BC1" s="34" t="s">
        <v>2</v>
      </c>
      <c r="BD1" s="35"/>
      <c r="BE1" s="35"/>
      <c r="BF1" s="35"/>
      <c r="BG1" s="35"/>
      <c r="BH1" s="35"/>
    </row>
    <row r="2" spans="1:60" ht="15" customHeight="1" x14ac:dyDescent="0.3">
      <c r="A2" s="24"/>
      <c r="B2" s="24"/>
      <c r="C2" s="24"/>
      <c r="D2" s="24"/>
      <c r="E2" s="24"/>
      <c r="F2" s="24"/>
      <c r="G2" s="24"/>
      <c r="H2" s="29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12"/>
      <c r="BC2" s="35"/>
      <c r="BD2" s="35"/>
      <c r="BE2" s="35"/>
      <c r="BF2" s="35"/>
      <c r="BG2" s="35"/>
      <c r="BH2" s="35"/>
    </row>
    <row r="3" spans="1:60" ht="15" customHeight="1" x14ac:dyDescent="0.3">
      <c r="A3" s="24"/>
      <c r="B3" s="24"/>
      <c r="C3" s="24"/>
      <c r="D3" s="24"/>
      <c r="E3" s="24"/>
      <c r="F3" s="24"/>
      <c r="G3" s="24"/>
      <c r="H3" s="31" t="s">
        <v>29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12"/>
      <c r="BC3" s="35"/>
      <c r="BD3" s="35"/>
      <c r="BE3" s="35"/>
      <c r="BF3" s="35"/>
      <c r="BG3" s="35"/>
      <c r="BH3" s="35"/>
    </row>
    <row r="4" spans="1:60" ht="15" customHeight="1" x14ac:dyDescent="0.3">
      <c r="A4" s="24"/>
      <c r="B4" s="24"/>
      <c r="C4" s="24"/>
      <c r="D4" s="24"/>
      <c r="E4" s="24"/>
      <c r="F4" s="24"/>
      <c r="G4" s="24"/>
      <c r="H4" s="29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12"/>
      <c r="BC4" s="25" t="s">
        <v>27</v>
      </c>
      <c r="BD4" s="26"/>
      <c r="BE4" s="26"/>
      <c r="BF4" s="26"/>
      <c r="BG4" s="26"/>
      <c r="BH4" s="26"/>
    </row>
    <row r="5" spans="1:60" x14ac:dyDescent="0.25">
      <c r="A5" s="24"/>
      <c r="B5" s="24"/>
      <c r="C5" s="24"/>
      <c r="D5" s="24"/>
      <c r="E5" s="24"/>
      <c r="F5" s="24"/>
      <c r="G5" s="24"/>
      <c r="H5" s="32" t="s">
        <v>0</v>
      </c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13"/>
      <c r="BC5" s="26"/>
      <c r="BD5" s="26"/>
      <c r="BE5" s="26"/>
      <c r="BF5" s="26"/>
      <c r="BG5" s="26"/>
      <c r="BH5" s="26"/>
    </row>
    <row r="6" spans="1:60" ht="12" customHeight="1" x14ac:dyDescent="0.25">
      <c r="A6" s="24"/>
      <c r="B6" s="24"/>
      <c r="C6" s="24"/>
      <c r="D6" s="24"/>
      <c r="E6" s="24"/>
      <c r="F6" s="24"/>
      <c r="G6" s="24"/>
      <c r="H6" s="16" t="s">
        <v>38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20" t="s">
        <v>1</v>
      </c>
      <c r="AU6" s="20"/>
      <c r="AV6" s="20"/>
      <c r="AW6" s="20"/>
      <c r="AX6" s="20"/>
      <c r="AY6" s="20"/>
      <c r="AZ6" s="20"/>
      <c r="BA6" s="21"/>
      <c r="BB6" s="7"/>
      <c r="BC6" s="15" t="s">
        <v>3</v>
      </c>
      <c r="BD6" s="15"/>
      <c r="BE6" s="15"/>
      <c r="BF6" s="15"/>
      <c r="BG6" s="15"/>
      <c r="BH6" s="15"/>
    </row>
    <row r="7" spans="1:60" x14ac:dyDescent="0.25">
      <c r="A7" s="24"/>
      <c r="B7" s="24"/>
      <c r="C7" s="24"/>
      <c r="D7" s="24"/>
      <c r="E7" s="24"/>
      <c r="F7" s="24"/>
      <c r="G7" s="24"/>
      <c r="H7" s="18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22"/>
      <c r="AU7" s="22"/>
      <c r="AV7" s="22"/>
      <c r="AW7" s="22"/>
      <c r="AX7" s="22"/>
      <c r="AY7" s="22"/>
      <c r="AZ7" s="22"/>
      <c r="BA7" s="23"/>
      <c r="BB7" s="8"/>
      <c r="BC7" s="15"/>
      <c r="BD7" s="15"/>
      <c r="BE7" s="15"/>
      <c r="BF7" s="15"/>
      <c r="BG7" s="15"/>
      <c r="BH7" s="15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38"/>
      <c r="BD8" s="39"/>
      <c r="BE8" s="39"/>
      <c r="BF8" s="39"/>
      <c r="BG8" s="39"/>
      <c r="BH8" s="40"/>
    </row>
    <row r="9" spans="1:60" ht="13.2" x14ac:dyDescent="0.25">
      <c r="A9" s="48" t="s">
        <v>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140" t="s">
        <v>23</v>
      </c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"/>
      <c r="BC9" s="41"/>
      <c r="BD9" s="42"/>
      <c r="BE9" s="42"/>
      <c r="BF9" s="42"/>
      <c r="BG9" s="42"/>
      <c r="BH9" s="43"/>
    </row>
    <row r="10" spans="1:60" x14ac:dyDescent="0.25">
      <c r="V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41"/>
      <c r="BD10" s="42"/>
      <c r="BE10" s="42"/>
      <c r="BF10" s="42"/>
      <c r="BG10" s="42"/>
      <c r="BH10" s="43"/>
    </row>
    <row r="11" spans="1:60" ht="13.2" x14ac:dyDescent="0.25">
      <c r="A11" s="50" t="s">
        <v>24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1"/>
      <c r="N11" s="52"/>
      <c r="O11" s="52"/>
      <c r="P11" s="52"/>
      <c r="Q11" s="52"/>
      <c r="R11" s="52"/>
      <c r="S11" s="52"/>
      <c r="T11" s="52"/>
      <c r="U11" s="53"/>
      <c r="V11" s="1"/>
      <c r="W11" s="5" t="s">
        <v>5</v>
      </c>
      <c r="X11" s="5"/>
      <c r="Y11" s="5"/>
      <c r="Z11" s="5"/>
      <c r="AA11" s="49" t="s">
        <v>25</v>
      </c>
      <c r="AB11" s="49"/>
      <c r="AC11" s="49"/>
      <c r="AD11" s="49"/>
      <c r="AE11" s="49"/>
      <c r="AF11" s="49"/>
      <c r="AG11" s="49"/>
      <c r="AH11" s="5"/>
      <c r="AI11" s="5" t="s">
        <v>11</v>
      </c>
      <c r="AJ11" s="6"/>
      <c r="AL11" s="47" t="s">
        <v>26</v>
      </c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10"/>
      <c r="BC11" s="41"/>
      <c r="BD11" s="42"/>
      <c r="BE11" s="42"/>
      <c r="BF11" s="42"/>
      <c r="BG11" s="42"/>
      <c r="BH11" s="43"/>
    </row>
    <row r="12" spans="1:6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"/>
      <c r="O12" s="56"/>
      <c r="P12" s="57"/>
      <c r="Q12" s="57"/>
      <c r="R12" s="57"/>
      <c r="S12" s="3"/>
      <c r="T12" s="3"/>
      <c r="U12" s="3"/>
      <c r="V12" s="1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3"/>
      <c r="AK12" s="3"/>
      <c r="AL12" s="3"/>
      <c r="AM12" s="3"/>
      <c r="AN12" s="3"/>
      <c r="AO12" s="3"/>
      <c r="AP12" s="3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41"/>
      <c r="BD12" s="42"/>
      <c r="BE12" s="42"/>
      <c r="BF12" s="42"/>
      <c r="BG12" s="42"/>
      <c r="BH12" s="43"/>
    </row>
    <row r="13" spans="1:60" ht="21" x14ac:dyDescent="0.3">
      <c r="A13" s="54" t="s">
        <v>21</v>
      </c>
      <c r="B13" s="54"/>
      <c r="C13" s="54"/>
      <c r="D13" s="54"/>
      <c r="E13" s="54"/>
      <c r="F13" s="54"/>
      <c r="G13" s="54"/>
      <c r="H13" s="54"/>
      <c r="I13" s="54"/>
      <c r="J13" s="54"/>
      <c r="K13" s="55"/>
      <c r="L13" s="55"/>
      <c r="M13" s="55"/>
      <c r="N13" s="55"/>
      <c r="O13" s="55"/>
      <c r="P13" s="54" t="s">
        <v>22</v>
      </c>
      <c r="Q13" s="54"/>
      <c r="R13" s="54"/>
      <c r="S13" s="54"/>
      <c r="T13" s="54"/>
      <c r="U13" s="54"/>
      <c r="V13" s="54"/>
      <c r="W13" s="54"/>
      <c r="X13" s="54"/>
      <c r="Y13" s="54"/>
      <c r="Z13" s="55"/>
      <c r="AA13" s="55"/>
      <c r="AB13" s="55"/>
      <c r="AC13" s="55"/>
      <c r="AD13" s="55"/>
      <c r="AE13" s="55"/>
      <c r="AF13" s="55"/>
      <c r="AG13" s="55"/>
      <c r="AH13" s="54" t="s">
        <v>33</v>
      </c>
      <c r="AI13" s="54"/>
      <c r="AJ13" s="54"/>
      <c r="AK13" s="54"/>
      <c r="AL13" s="54"/>
      <c r="AM13" s="54"/>
      <c r="AN13" s="54"/>
      <c r="AO13" s="54"/>
      <c r="AP13" s="54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14" t="str">
        <f>IF(promedio&gt;=4.5,"😍",IF(AND(promedio&gt;=4,promedio&lt;4.5),"😊",IF(AND(promedio&gt;=3,promedio&lt;4),"🙄","😭")))</f>
        <v>😭</v>
      </c>
      <c r="BC13" s="44"/>
      <c r="BD13" s="45"/>
      <c r="BE13" s="45"/>
      <c r="BF13" s="45"/>
      <c r="BG13" s="45"/>
      <c r="BH13" s="46"/>
    </row>
    <row r="14" spans="1:60" x14ac:dyDescent="0.25">
      <c r="A14" s="37" t="s">
        <v>6</v>
      </c>
      <c r="B14" s="37"/>
      <c r="C14" s="37"/>
      <c r="D14" s="37"/>
      <c r="E14" s="37"/>
      <c r="F14" s="37"/>
      <c r="G14" s="37"/>
      <c r="H14" s="36" t="s">
        <v>7</v>
      </c>
      <c r="I14" s="36"/>
      <c r="J14" s="36"/>
      <c r="K14" s="37" t="s">
        <v>8</v>
      </c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6" t="s">
        <v>9</v>
      </c>
      <c r="AX14" s="36"/>
      <c r="AY14" s="36"/>
      <c r="AZ14" s="36"/>
      <c r="BA14" s="36"/>
      <c r="BB14" s="9" t="s">
        <v>30</v>
      </c>
      <c r="BC14" s="36" t="s">
        <v>10</v>
      </c>
      <c r="BD14" s="36"/>
      <c r="BE14" s="36"/>
      <c r="BF14" s="37" t="s">
        <v>31</v>
      </c>
      <c r="BG14" s="37"/>
      <c r="BH14" s="37"/>
    </row>
    <row r="15" spans="1:60" ht="15" customHeight="1" x14ac:dyDescent="0.25">
      <c r="A15" s="34" t="s">
        <v>34</v>
      </c>
      <c r="B15" s="34"/>
      <c r="C15" s="34"/>
      <c r="D15" s="34"/>
      <c r="E15" s="34"/>
      <c r="F15" s="34"/>
      <c r="G15" s="34"/>
      <c r="H15" s="80">
        <v>0</v>
      </c>
      <c r="I15" s="80"/>
      <c r="J15" s="80"/>
      <c r="K15" s="62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4"/>
      <c r="AW15" s="58"/>
      <c r="AX15" s="20"/>
      <c r="AY15" s="20"/>
      <c r="AZ15" s="20"/>
      <c r="BA15" s="20"/>
      <c r="BB15" s="100"/>
      <c r="BC15" s="84"/>
      <c r="BD15" s="84"/>
      <c r="BE15" s="84"/>
      <c r="BF15" s="84">
        <f>BC15*BB15/100</f>
        <v>0</v>
      </c>
      <c r="BG15" s="84"/>
      <c r="BH15" s="84"/>
    </row>
    <row r="16" spans="1:60" ht="15" customHeight="1" x14ac:dyDescent="0.25">
      <c r="A16" s="34"/>
      <c r="B16" s="34"/>
      <c r="C16" s="34"/>
      <c r="D16" s="34"/>
      <c r="E16" s="34"/>
      <c r="F16" s="34"/>
      <c r="G16" s="34"/>
      <c r="H16" s="80"/>
      <c r="I16" s="80"/>
      <c r="J16" s="80"/>
      <c r="K16" s="65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7"/>
      <c r="AW16" s="59"/>
      <c r="AX16" s="60"/>
      <c r="AY16" s="60"/>
      <c r="AZ16" s="60"/>
      <c r="BA16" s="60"/>
      <c r="BB16" s="101"/>
      <c r="BC16" s="84"/>
      <c r="BD16" s="84"/>
      <c r="BE16" s="84"/>
      <c r="BF16" s="84"/>
      <c r="BG16" s="84"/>
      <c r="BH16" s="84"/>
    </row>
    <row r="17" spans="1:60" ht="15" customHeight="1" x14ac:dyDescent="0.25">
      <c r="A17" s="34"/>
      <c r="B17" s="34"/>
      <c r="C17" s="34"/>
      <c r="D17" s="34"/>
      <c r="E17" s="34"/>
      <c r="F17" s="34"/>
      <c r="G17" s="34"/>
      <c r="H17" s="80"/>
      <c r="I17" s="80"/>
      <c r="J17" s="80"/>
      <c r="K17" s="68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70"/>
      <c r="AW17" s="61"/>
      <c r="AX17" s="22"/>
      <c r="AY17" s="22"/>
      <c r="AZ17" s="22"/>
      <c r="BA17" s="22"/>
      <c r="BB17" s="102"/>
      <c r="BC17" s="84"/>
      <c r="BD17" s="84"/>
      <c r="BE17" s="84"/>
      <c r="BF17" s="84"/>
      <c r="BG17" s="84"/>
      <c r="BH17" s="84"/>
    </row>
    <row r="18" spans="1:60" ht="12" customHeight="1" x14ac:dyDescent="0.25">
      <c r="A18" s="34" t="s">
        <v>35</v>
      </c>
      <c r="B18" s="34"/>
      <c r="C18" s="34"/>
      <c r="D18" s="34"/>
      <c r="E18" s="34"/>
      <c r="F18" s="34"/>
      <c r="G18" s="34"/>
      <c r="H18" s="80">
        <v>0</v>
      </c>
      <c r="I18" s="80"/>
      <c r="J18" s="80"/>
      <c r="K18" s="71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3"/>
      <c r="AW18" s="15"/>
      <c r="AX18" s="15"/>
      <c r="AY18" s="15"/>
      <c r="AZ18" s="15"/>
      <c r="BA18" s="15"/>
      <c r="BB18" s="100"/>
      <c r="BC18" s="84"/>
      <c r="BD18" s="84"/>
      <c r="BE18" s="84"/>
      <c r="BF18" s="91">
        <f>(BC18*BB18+BC21*BB21)/100</f>
        <v>0</v>
      </c>
      <c r="BG18" s="92"/>
      <c r="BH18" s="93"/>
    </row>
    <row r="19" spans="1:60" x14ac:dyDescent="0.25">
      <c r="A19" s="34"/>
      <c r="B19" s="34"/>
      <c r="C19" s="34"/>
      <c r="D19" s="34"/>
      <c r="E19" s="34"/>
      <c r="F19" s="34"/>
      <c r="G19" s="34"/>
      <c r="H19" s="80"/>
      <c r="I19" s="80"/>
      <c r="J19" s="80"/>
      <c r="K19" s="74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6"/>
      <c r="AW19" s="15"/>
      <c r="AX19" s="15"/>
      <c r="AY19" s="15"/>
      <c r="AZ19" s="15"/>
      <c r="BA19" s="15"/>
      <c r="BB19" s="101"/>
      <c r="BC19" s="84"/>
      <c r="BD19" s="84"/>
      <c r="BE19" s="84"/>
      <c r="BF19" s="94"/>
      <c r="BG19" s="95"/>
      <c r="BH19" s="96"/>
    </row>
    <row r="20" spans="1:60" x14ac:dyDescent="0.25">
      <c r="A20" s="34"/>
      <c r="B20" s="34"/>
      <c r="C20" s="34"/>
      <c r="D20" s="34"/>
      <c r="E20" s="34"/>
      <c r="F20" s="34"/>
      <c r="G20" s="34"/>
      <c r="H20" s="80"/>
      <c r="I20" s="80"/>
      <c r="J20" s="80"/>
      <c r="K20" s="77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9"/>
      <c r="AW20" s="15"/>
      <c r="AX20" s="15"/>
      <c r="AY20" s="15"/>
      <c r="AZ20" s="15"/>
      <c r="BA20" s="15"/>
      <c r="BB20" s="102"/>
      <c r="BC20" s="84"/>
      <c r="BD20" s="84"/>
      <c r="BE20" s="84"/>
      <c r="BF20" s="94"/>
      <c r="BG20" s="95"/>
      <c r="BH20" s="96"/>
    </row>
    <row r="21" spans="1:60" x14ac:dyDescent="0.25">
      <c r="A21" s="82" t="s">
        <v>19</v>
      </c>
      <c r="B21" s="82"/>
      <c r="C21" s="82"/>
      <c r="D21" s="82"/>
      <c r="E21" s="82"/>
      <c r="F21" s="82"/>
      <c r="G21" s="82"/>
      <c r="H21" s="80">
        <v>0</v>
      </c>
      <c r="I21" s="80"/>
      <c r="J21" s="80"/>
      <c r="K21" s="71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3"/>
      <c r="AW21" s="15"/>
      <c r="AX21" s="15"/>
      <c r="AY21" s="15"/>
      <c r="AZ21" s="15"/>
      <c r="BA21" s="15"/>
      <c r="BB21" s="100"/>
      <c r="BC21" s="84"/>
      <c r="BD21" s="84"/>
      <c r="BE21" s="84"/>
      <c r="BF21" s="94"/>
      <c r="BG21" s="95"/>
      <c r="BH21" s="96"/>
    </row>
    <row r="22" spans="1:60" x14ac:dyDescent="0.25">
      <c r="A22" s="83"/>
      <c r="B22" s="83"/>
      <c r="C22" s="83"/>
      <c r="D22" s="83"/>
      <c r="E22" s="83"/>
      <c r="F22" s="83"/>
      <c r="G22" s="83"/>
      <c r="H22" s="80"/>
      <c r="I22" s="80"/>
      <c r="J22" s="80"/>
      <c r="K22" s="74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6"/>
      <c r="AW22" s="15"/>
      <c r="AX22" s="15"/>
      <c r="AY22" s="15"/>
      <c r="AZ22" s="15"/>
      <c r="BA22" s="15"/>
      <c r="BB22" s="101"/>
      <c r="BC22" s="84"/>
      <c r="BD22" s="84"/>
      <c r="BE22" s="84"/>
      <c r="BF22" s="94"/>
      <c r="BG22" s="95"/>
      <c r="BH22" s="96"/>
    </row>
    <row r="23" spans="1:60" x14ac:dyDescent="0.25">
      <c r="A23" s="83"/>
      <c r="B23" s="83"/>
      <c r="C23" s="83"/>
      <c r="D23" s="83"/>
      <c r="E23" s="83"/>
      <c r="F23" s="83"/>
      <c r="G23" s="83"/>
      <c r="H23" s="80"/>
      <c r="I23" s="80"/>
      <c r="J23" s="80"/>
      <c r="K23" s="77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9"/>
      <c r="AW23" s="15"/>
      <c r="AX23" s="15"/>
      <c r="AY23" s="15"/>
      <c r="AZ23" s="15"/>
      <c r="BA23" s="15"/>
      <c r="BB23" s="102"/>
      <c r="BC23" s="84"/>
      <c r="BD23" s="84"/>
      <c r="BE23" s="84"/>
      <c r="BF23" s="97"/>
      <c r="BG23" s="98"/>
      <c r="BH23" s="99"/>
    </row>
    <row r="24" spans="1:60" x14ac:dyDescent="0.25">
      <c r="A24" s="112" t="s">
        <v>20</v>
      </c>
      <c r="B24" s="113"/>
      <c r="C24" s="113"/>
      <c r="D24" s="113"/>
      <c r="E24" s="113"/>
      <c r="F24" s="113"/>
      <c r="G24" s="114"/>
      <c r="H24" s="80">
        <v>0</v>
      </c>
      <c r="I24" s="80"/>
      <c r="J24" s="80"/>
      <c r="K24" s="62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4"/>
      <c r="AW24" s="15"/>
      <c r="AX24" s="15"/>
      <c r="AY24" s="15"/>
      <c r="AZ24" s="15"/>
      <c r="BA24" s="15"/>
      <c r="BB24" s="21"/>
      <c r="BC24" s="84"/>
      <c r="BD24" s="84"/>
      <c r="BE24" s="84"/>
      <c r="BF24" s="84">
        <f>BC24*BB24/100</f>
        <v>0</v>
      </c>
      <c r="BG24" s="84"/>
      <c r="BH24" s="84"/>
    </row>
    <row r="25" spans="1:60" x14ac:dyDescent="0.25">
      <c r="A25" s="115"/>
      <c r="B25" s="116"/>
      <c r="C25" s="116"/>
      <c r="D25" s="116"/>
      <c r="E25" s="116"/>
      <c r="F25" s="116"/>
      <c r="G25" s="117"/>
      <c r="H25" s="80"/>
      <c r="I25" s="80"/>
      <c r="J25" s="80"/>
      <c r="K25" s="6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7"/>
      <c r="AW25" s="15"/>
      <c r="AX25" s="15"/>
      <c r="AY25" s="15"/>
      <c r="AZ25" s="15"/>
      <c r="BA25" s="15"/>
      <c r="BB25" s="103"/>
      <c r="BC25" s="84"/>
      <c r="BD25" s="84"/>
      <c r="BE25" s="84"/>
      <c r="BF25" s="84"/>
      <c r="BG25" s="84"/>
      <c r="BH25" s="84"/>
    </row>
    <row r="26" spans="1:60" x14ac:dyDescent="0.25">
      <c r="A26" s="115"/>
      <c r="B26" s="116"/>
      <c r="C26" s="116"/>
      <c r="D26" s="116"/>
      <c r="E26" s="116"/>
      <c r="F26" s="116"/>
      <c r="G26" s="117"/>
      <c r="H26" s="80"/>
      <c r="I26" s="80"/>
      <c r="J26" s="80"/>
      <c r="K26" s="68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70"/>
      <c r="AW26" s="15"/>
      <c r="AX26" s="15"/>
      <c r="AY26" s="15"/>
      <c r="AZ26" s="15"/>
      <c r="BA26" s="15"/>
      <c r="BB26" s="23"/>
      <c r="BC26" s="84"/>
      <c r="BD26" s="84"/>
      <c r="BE26" s="84"/>
      <c r="BF26" s="84"/>
      <c r="BG26" s="84"/>
      <c r="BH26" s="84"/>
    </row>
    <row r="27" spans="1:60" x14ac:dyDescent="0.25">
      <c r="A27" s="106" t="s">
        <v>12</v>
      </c>
      <c r="B27" s="107"/>
      <c r="C27" s="107"/>
      <c r="D27" s="107"/>
      <c r="E27" s="107"/>
      <c r="F27" s="107"/>
      <c r="G27" s="108"/>
      <c r="H27" s="85">
        <v>0</v>
      </c>
      <c r="I27" s="86"/>
      <c r="J27" s="87"/>
      <c r="K27" s="71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3"/>
      <c r="AW27" s="80"/>
      <c r="AX27" s="80"/>
      <c r="AY27" s="80"/>
      <c r="AZ27" s="80"/>
      <c r="BA27" s="80"/>
      <c r="BB27" s="104"/>
      <c r="BC27" s="84"/>
      <c r="BD27" s="84"/>
      <c r="BE27" s="84"/>
      <c r="BF27" s="84">
        <f>BC27</f>
        <v>0</v>
      </c>
      <c r="BG27" s="84"/>
      <c r="BH27" s="84"/>
    </row>
    <row r="28" spans="1:60" x14ac:dyDescent="0.25">
      <c r="A28" s="109"/>
      <c r="B28" s="110"/>
      <c r="C28" s="110"/>
      <c r="D28" s="110"/>
      <c r="E28" s="110"/>
      <c r="F28" s="110"/>
      <c r="G28" s="111"/>
      <c r="H28" s="88"/>
      <c r="I28" s="89"/>
      <c r="J28" s="90"/>
      <c r="K28" s="77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9"/>
      <c r="AW28" s="80"/>
      <c r="AX28" s="80"/>
      <c r="AY28" s="80"/>
      <c r="AZ28" s="80"/>
      <c r="BA28" s="80"/>
      <c r="BB28" s="105"/>
      <c r="BC28" s="84"/>
      <c r="BD28" s="84"/>
      <c r="BE28" s="84"/>
      <c r="BF28" s="84"/>
      <c r="BG28" s="84"/>
      <c r="BH28" s="84"/>
    </row>
    <row r="29" spans="1:60" x14ac:dyDescent="0.25">
      <c r="A29" s="112" t="s">
        <v>13</v>
      </c>
      <c r="B29" s="113"/>
      <c r="C29" s="113"/>
      <c r="D29" s="113"/>
      <c r="E29" s="113"/>
      <c r="F29" s="113"/>
      <c r="G29" s="114"/>
      <c r="H29" s="80">
        <v>0</v>
      </c>
      <c r="I29" s="80"/>
      <c r="J29" s="80"/>
      <c r="K29" s="71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3"/>
      <c r="AW29" s="15"/>
      <c r="AX29" s="15"/>
      <c r="AY29" s="15"/>
      <c r="AZ29" s="15"/>
      <c r="BA29" s="15"/>
      <c r="BB29" s="100"/>
      <c r="BC29" s="91"/>
      <c r="BD29" s="92"/>
      <c r="BE29" s="93"/>
      <c r="BF29" s="91">
        <f>BC29</f>
        <v>0</v>
      </c>
      <c r="BG29" s="92"/>
      <c r="BH29" s="93"/>
    </row>
    <row r="30" spans="1:60" x14ac:dyDescent="0.25">
      <c r="A30" s="115"/>
      <c r="B30" s="116"/>
      <c r="C30" s="116"/>
      <c r="D30" s="116"/>
      <c r="E30" s="116"/>
      <c r="F30" s="116"/>
      <c r="G30" s="117"/>
      <c r="H30" s="80"/>
      <c r="I30" s="80"/>
      <c r="J30" s="80"/>
      <c r="K30" s="74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6"/>
      <c r="AW30" s="15"/>
      <c r="AX30" s="15"/>
      <c r="AY30" s="15"/>
      <c r="AZ30" s="15"/>
      <c r="BA30" s="15"/>
      <c r="BB30" s="101"/>
      <c r="BC30" s="94"/>
      <c r="BD30" s="95"/>
      <c r="BE30" s="96"/>
      <c r="BF30" s="94"/>
      <c r="BG30" s="95"/>
      <c r="BH30" s="96"/>
    </row>
    <row r="31" spans="1:60" x14ac:dyDescent="0.25">
      <c r="A31" s="124"/>
      <c r="B31" s="125"/>
      <c r="C31" s="125"/>
      <c r="D31" s="125"/>
      <c r="E31" s="125"/>
      <c r="F31" s="125"/>
      <c r="G31" s="126"/>
      <c r="H31" s="80"/>
      <c r="I31" s="80"/>
      <c r="J31" s="80"/>
      <c r="K31" s="77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9"/>
      <c r="AW31" s="15"/>
      <c r="AX31" s="15"/>
      <c r="AY31" s="15"/>
      <c r="AZ31" s="15"/>
      <c r="BA31" s="15"/>
      <c r="BB31" s="102"/>
      <c r="BC31" s="97"/>
      <c r="BD31" s="98"/>
      <c r="BE31" s="99"/>
      <c r="BF31" s="97"/>
      <c r="BG31" s="98"/>
      <c r="BH31" s="99"/>
    </row>
    <row r="32" spans="1:60" x14ac:dyDescent="0.25">
      <c r="A32" s="112" t="s">
        <v>18</v>
      </c>
      <c r="B32" s="113"/>
      <c r="C32" s="113"/>
      <c r="D32" s="113"/>
      <c r="E32" s="113"/>
      <c r="F32" s="113"/>
      <c r="G32" s="114"/>
      <c r="H32" s="80">
        <v>0</v>
      </c>
      <c r="I32" s="80"/>
      <c r="J32" s="80"/>
      <c r="K32" s="71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3"/>
      <c r="AW32" s="15"/>
      <c r="AX32" s="15"/>
      <c r="AY32" s="15"/>
      <c r="AZ32" s="15"/>
      <c r="BA32" s="15"/>
      <c r="BB32" s="100"/>
      <c r="BC32" s="91"/>
      <c r="BD32" s="92"/>
      <c r="BE32" s="93"/>
      <c r="BF32" s="91">
        <f>BC32</f>
        <v>0</v>
      </c>
      <c r="BG32" s="92"/>
      <c r="BH32" s="93"/>
    </row>
    <row r="33" spans="1:60" x14ac:dyDescent="0.25">
      <c r="A33" s="115"/>
      <c r="B33" s="116"/>
      <c r="C33" s="116"/>
      <c r="D33" s="116"/>
      <c r="E33" s="116"/>
      <c r="F33" s="116"/>
      <c r="G33" s="117"/>
      <c r="H33" s="80"/>
      <c r="I33" s="80"/>
      <c r="J33" s="80"/>
      <c r="K33" s="74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6"/>
      <c r="AW33" s="15"/>
      <c r="AX33" s="15"/>
      <c r="AY33" s="15"/>
      <c r="AZ33" s="15"/>
      <c r="BA33" s="15"/>
      <c r="BB33" s="102"/>
      <c r="BC33" s="94"/>
      <c r="BD33" s="95"/>
      <c r="BE33" s="96"/>
      <c r="BF33" s="94"/>
      <c r="BG33" s="95"/>
      <c r="BH33" s="96"/>
    </row>
    <row r="34" spans="1:60" ht="12" customHeight="1" x14ac:dyDescent="0.25">
      <c r="A34" s="112" t="s">
        <v>14</v>
      </c>
      <c r="B34" s="113"/>
      <c r="C34" s="113"/>
      <c r="D34" s="113"/>
      <c r="E34" s="113"/>
      <c r="F34" s="113"/>
      <c r="G34" s="114"/>
      <c r="H34" s="80">
        <v>0</v>
      </c>
      <c r="I34" s="80"/>
      <c r="J34" s="80"/>
      <c r="K34" s="71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3"/>
      <c r="AW34" s="58"/>
      <c r="AX34" s="20"/>
      <c r="AY34" s="20"/>
      <c r="AZ34" s="20"/>
      <c r="BA34" s="21"/>
      <c r="BB34" s="100"/>
      <c r="BC34" s="91"/>
      <c r="BD34" s="92"/>
      <c r="BE34" s="93"/>
      <c r="BF34" s="91">
        <f>(BB34*BC34+BB37*BC37)/100</f>
        <v>0</v>
      </c>
      <c r="BG34" s="92"/>
      <c r="BH34" s="93"/>
    </row>
    <row r="35" spans="1:60" x14ac:dyDescent="0.25">
      <c r="A35" s="115"/>
      <c r="B35" s="116"/>
      <c r="C35" s="116"/>
      <c r="D35" s="116"/>
      <c r="E35" s="116"/>
      <c r="F35" s="116"/>
      <c r="G35" s="117"/>
      <c r="H35" s="80"/>
      <c r="I35" s="80"/>
      <c r="J35" s="80"/>
      <c r="K35" s="74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6"/>
      <c r="AW35" s="59"/>
      <c r="AX35" s="60"/>
      <c r="AY35" s="60"/>
      <c r="AZ35" s="60"/>
      <c r="BA35" s="103"/>
      <c r="BB35" s="101"/>
      <c r="BC35" s="94"/>
      <c r="BD35" s="95"/>
      <c r="BE35" s="96"/>
      <c r="BF35" s="94"/>
      <c r="BG35" s="95"/>
      <c r="BH35" s="96"/>
    </row>
    <row r="36" spans="1:60" x14ac:dyDescent="0.25">
      <c r="A36" s="115"/>
      <c r="B36" s="116"/>
      <c r="C36" s="116"/>
      <c r="D36" s="116"/>
      <c r="E36" s="116"/>
      <c r="F36" s="116"/>
      <c r="G36" s="117"/>
      <c r="H36" s="80"/>
      <c r="I36" s="80"/>
      <c r="J36" s="80"/>
      <c r="K36" s="77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9"/>
      <c r="AW36" s="61"/>
      <c r="AX36" s="22"/>
      <c r="AY36" s="22"/>
      <c r="AZ36" s="22"/>
      <c r="BA36" s="23"/>
      <c r="BB36" s="102"/>
      <c r="BC36" s="97"/>
      <c r="BD36" s="98"/>
      <c r="BE36" s="99"/>
      <c r="BF36" s="94"/>
      <c r="BG36" s="95"/>
      <c r="BH36" s="96"/>
    </row>
    <row r="37" spans="1:60" x14ac:dyDescent="0.25">
      <c r="A37" s="118" t="s">
        <v>15</v>
      </c>
      <c r="B37" s="119"/>
      <c r="C37" s="119"/>
      <c r="D37" s="119"/>
      <c r="E37" s="119"/>
      <c r="F37" s="119"/>
      <c r="G37" s="120"/>
      <c r="H37" s="80">
        <v>0</v>
      </c>
      <c r="I37" s="80"/>
      <c r="J37" s="80"/>
      <c r="K37" s="62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4"/>
      <c r="AW37" s="15"/>
      <c r="AX37" s="15"/>
      <c r="AY37" s="15"/>
      <c r="AZ37" s="15"/>
      <c r="BA37" s="15"/>
      <c r="BB37" s="15"/>
      <c r="BC37" s="91"/>
      <c r="BD37" s="92"/>
      <c r="BE37" s="93"/>
      <c r="BF37" s="94"/>
      <c r="BG37" s="95"/>
      <c r="BH37" s="96"/>
    </row>
    <row r="38" spans="1:60" x14ac:dyDescent="0.25">
      <c r="A38" s="118"/>
      <c r="B38" s="119"/>
      <c r="C38" s="119"/>
      <c r="D38" s="119"/>
      <c r="E38" s="119"/>
      <c r="F38" s="119"/>
      <c r="G38" s="120"/>
      <c r="H38" s="80"/>
      <c r="I38" s="80"/>
      <c r="J38" s="80"/>
      <c r="K38" s="65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7"/>
      <c r="AW38" s="15"/>
      <c r="AX38" s="15"/>
      <c r="AY38" s="15"/>
      <c r="AZ38" s="15"/>
      <c r="BA38" s="15"/>
      <c r="BB38" s="15"/>
      <c r="BC38" s="94"/>
      <c r="BD38" s="95"/>
      <c r="BE38" s="96"/>
      <c r="BF38" s="94"/>
      <c r="BG38" s="95"/>
      <c r="BH38" s="96"/>
    </row>
    <row r="39" spans="1:60" x14ac:dyDescent="0.25">
      <c r="A39" s="121"/>
      <c r="B39" s="122"/>
      <c r="C39" s="122"/>
      <c r="D39" s="122"/>
      <c r="E39" s="122"/>
      <c r="F39" s="122"/>
      <c r="G39" s="123"/>
      <c r="H39" s="80"/>
      <c r="I39" s="80"/>
      <c r="J39" s="80"/>
      <c r="K39" s="68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70"/>
      <c r="AW39" s="15"/>
      <c r="AX39" s="15"/>
      <c r="AY39" s="15"/>
      <c r="AZ39" s="15"/>
      <c r="BA39" s="15"/>
      <c r="BB39" s="15"/>
      <c r="BC39" s="94"/>
      <c r="BD39" s="95"/>
      <c r="BE39" s="96"/>
      <c r="BF39" s="97"/>
      <c r="BG39" s="98"/>
      <c r="BH39" s="99"/>
    </row>
    <row r="40" spans="1:60" x14ac:dyDescent="0.25">
      <c r="A40" s="115" t="s">
        <v>36</v>
      </c>
      <c r="B40" s="116"/>
      <c r="C40" s="116"/>
      <c r="D40" s="116"/>
      <c r="E40" s="116"/>
      <c r="F40" s="116"/>
      <c r="G40" s="117"/>
      <c r="H40" s="80">
        <v>0</v>
      </c>
      <c r="I40" s="80"/>
      <c r="J40" s="80"/>
      <c r="K40" s="62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4"/>
      <c r="AW40" s="15"/>
      <c r="AX40" s="15"/>
      <c r="AY40" s="15"/>
      <c r="AZ40" s="15"/>
      <c r="BA40" s="15"/>
      <c r="BB40" s="15"/>
      <c r="BC40" s="91"/>
      <c r="BD40" s="92"/>
      <c r="BE40" s="93"/>
      <c r="BF40" s="91">
        <f>BC40</f>
        <v>0</v>
      </c>
      <c r="BG40" s="92"/>
      <c r="BH40" s="93"/>
    </row>
    <row r="41" spans="1:60" x14ac:dyDescent="0.25">
      <c r="A41" s="115"/>
      <c r="B41" s="116"/>
      <c r="C41" s="116"/>
      <c r="D41" s="116"/>
      <c r="E41" s="116"/>
      <c r="F41" s="116"/>
      <c r="G41" s="117"/>
      <c r="H41" s="80"/>
      <c r="I41" s="80"/>
      <c r="J41" s="80"/>
      <c r="K41" s="65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7"/>
      <c r="AW41" s="15"/>
      <c r="AX41" s="15"/>
      <c r="AY41" s="15"/>
      <c r="AZ41" s="15"/>
      <c r="BA41" s="15"/>
      <c r="BB41" s="15"/>
      <c r="BC41" s="94"/>
      <c r="BD41" s="95"/>
      <c r="BE41" s="96"/>
      <c r="BF41" s="94"/>
      <c r="BG41" s="95"/>
      <c r="BH41" s="96"/>
    </row>
    <row r="42" spans="1:60" x14ac:dyDescent="0.25">
      <c r="A42" s="124"/>
      <c r="B42" s="125"/>
      <c r="C42" s="125"/>
      <c r="D42" s="125"/>
      <c r="E42" s="125"/>
      <c r="F42" s="125"/>
      <c r="G42" s="126"/>
      <c r="H42" s="80"/>
      <c r="I42" s="80"/>
      <c r="J42" s="80"/>
      <c r="K42" s="68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70"/>
      <c r="AW42" s="15"/>
      <c r="AX42" s="15"/>
      <c r="AY42" s="15"/>
      <c r="AZ42" s="15"/>
      <c r="BA42" s="15"/>
      <c r="BB42" s="15"/>
      <c r="BC42" s="94"/>
      <c r="BD42" s="95"/>
      <c r="BE42" s="96"/>
      <c r="BF42" s="94"/>
      <c r="BG42" s="95"/>
      <c r="BH42" s="96"/>
    </row>
    <row r="43" spans="1:60" x14ac:dyDescent="0.25">
      <c r="A43" s="115" t="s">
        <v>37</v>
      </c>
      <c r="B43" s="116"/>
      <c r="C43" s="116"/>
      <c r="D43" s="116"/>
      <c r="E43" s="116"/>
      <c r="F43" s="116"/>
      <c r="G43" s="117"/>
      <c r="H43" s="80">
        <v>0</v>
      </c>
      <c r="I43" s="80"/>
      <c r="J43" s="80"/>
      <c r="K43" s="6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3"/>
      <c r="AW43" s="15"/>
      <c r="AX43" s="15"/>
      <c r="AY43" s="15"/>
      <c r="AZ43" s="15"/>
      <c r="BA43" s="15"/>
      <c r="BB43" s="15"/>
      <c r="BC43" s="91"/>
      <c r="BD43" s="92"/>
      <c r="BE43" s="93"/>
      <c r="BF43" s="91">
        <f>BC43</f>
        <v>0</v>
      </c>
      <c r="BG43" s="92"/>
      <c r="BH43" s="93"/>
    </row>
    <row r="44" spans="1:60" x14ac:dyDescent="0.25">
      <c r="A44" s="115"/>
      <c r="B44" s="116"/>
      <c r="C44" s="116"/>
      <c r="D44" s="116"/>
      <c r="E44" s="116"/>
      <c r="F44" s="116"/>
      <c r="G44" s="117"/>
      <c r="H44" s="80"/>
      <c r="I44" s="80"/>
      <c r="J44" s="80"/>
      <c r="K44" s="134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6"/>
      <c r="AW44" s="15"/>
      <c r="AX44" s="15"/>
      <c r="AY44" s="15"/>
      <c r="AZ44" s="15"/>
      <c r="BA44" s="15"/>
      <c r="BB44" s="15"/>
      <c r="BC44" s="94"/>
      <c r="BD44" s="95"/>
      <c r="BE44" s="96"/>
      <c r="BF44" s="94"/>
      <c r="BG44" s="95"/>
      <c r="BH44" s="96"/>
    </row>
    <row r="45" spans="1:60" x14ac:dyDescent="0.25">
      <c r="A45" s="124"/>
      <c r="B45" s="125"/>
      <c r="C45" s="125"/>
      <c r="D45" s="125"/>
      <c r="E45" s="125"/>
      <c r="F45" s="125"/>
      <c r="G45" s="126"/>
      <c r="H45" s="80"/>
      <c r="I45" s="80"/>
      <c r="J45" s="80"/>
      <c r="K45" s="137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9"/>
      <c r="AW45" s="15"/>
      <c r="AX45" s="15"/>
      <c r="AY45" s="15"/>
      <c r="AZ45" s="15"/>
      <c r="BA45" s="15"/>
      <c r="BB45" s="15"/>
      <c r="BC45" s="94"/>
      <c r="BD45" s="95"/>
      <c r="BE45" s="96"/>
      <c r="BF45" s="94"/>
      <c r="BG45" s="95"/>
      <c r="BH45" s="96"/>
    </row>
    <row r="46" spans="1:60" x14ac:dyDescent="0.25">
      <c r="A46" s="115" t="s">
        <v>16</v>
      </c>
      <c r="B46" s="116"/>
      <c r="C46" s="116"/>
      <c r="D46" s="116"/>
      <c r="E46" s="116"/>
      <c r="F46" s="116"/>
      <c r="G46" s="117"/>
      <c r="H46" s="80">
        <v>0</v>
      </c>
      <c r="I46" s="80"/>
      <c r="J46" s="80"/>
      <c r="K46" s="6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3"/>
      <c r="AW46" s="15"/>
      <c r="AX46" s="15"/>
      <c r="AY46" s="15"/>
      <c r="AZ46" s="15"/>
      <c r="BA46" s="15"/>
      <c r="BB46" s="15"/>
      <c r="BC46" s="91"/>
      <c r="BD46" s="92"/>
      <c r="BE46" s="93"/>
      <c r="BF46" s="91">
        <f>BC46</f>
        <v>0</v>
      </c>
      <c r="BG46" s="92"/>
      <c r="BH46" s="93"/>
    </row>
    <row r="47" spans="1:60" x14ac:dyDescent="0.25">
      <c r="A47" s="115"/>
      <c r="B47" s="116"/>
      <c r="C47" s="116"/>
      <c r="D47" s="116"/>
      <c r="E47" s="116"/>
      <c r="F47" s="116"/>
      <c r="G47" s="117"/>
      <c r="H47" s="80"/>
      <c r="I47" s="80"/>
      <c r="J47" s="80"/>
      <c r="K47" s="134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6"/>
      <c r="AW47" s="15"/>
      <c r="AX47" s="15"/>
      <c r="AY47" s="15"/>
      <c r="AZ47" s="15"/>
      <c r="BA47" s="15"/>
      <c r="BB47" s="15"/>
      <c r="BC47" s="94"/>
      <c r="BD47" s="95"/>
      <c r="BE47" s="96"/>
      <c r="BF47" s="94"/>
      <c r="BG47" s="95"/>
      <c r="BH47" s="96"/>
    </row>
    <row r="48" spans="1:60" x14ac:dyDescent="0.25">
      <c r="A48" s="124"/>
      <c r="B48" s="125"/>
      <c r="C48" s="125"/>
      <c r="D48" s="125"/>
      <c r="E48" s="125"/>
      <c r="F48" s="125"/>
      <c r="G48" s="126"/>
      <c r="H48" s="80"/>
      <c r="I48" s="80"/>
      <c r="J48" s="80"/>
      <c r="K48" s="137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9"/>
      <c r="AW48" s="15"/>
      <c r="AX48" s="15"/>
      <c r="AY48" s="15"/>
      <c r="AZ48" s="15"/>
      <c r="BA48" s="15"/>
      <c r="BB48" s="15"/>
      <c r="BC48" s="94"/>
      <c r="BD48" s="95"/>
      <c r="BE48" s="96"/>
      <c r="BF48" s="94"/>
      <c r="BG48" s="95"/>
      <c r="BH48" s="96"/>
    </row>
    <row r="49" spans="1:60" x14ac:dyDescent="0.25">
      <c r="A49" s="130" t="s">
        <v>17</v>
      </c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</row>
    <row r="51" spans="1:60" ht="15" customHeight="1" x14ac:dyDescent="0.25">
      <c r="B51" s="129" t="s">
        <v>32</v>
      </c>
      <c r="C51" s="129"/>
      <c r="D51" s="129"/>
      <c r="E51" s="129"/>
      <c r="F51" s="129"/>
      <c r="G51" s="129"/>
      <c r="H51" s="129"/>
      <c r="I51" s="129"/>
      <c r="J51" s="129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</row>
    <row r="53" spans="1:60" x14ac:dyDescent="0.25">
      <c r="B53" s="127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</row>
    <row r="54" spans="1:60" x14ac:dyDescent="0.25"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</row>
    <row r="55" spans="1:60" x14ac:dyDescent="0.25"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</row>
  </sheetData>
  <mergeCells count="115">
    <mergeCell ref="M9:BA9"/>
    <mergeCell ref="B53:BF55"/>
    <mergeCell ref="B51:J51"/>
    <mergeCell ref="BF40:BH42"/>
    <mergeCell ref="H34:J36"/>
    <mergeCell ref="K34:AV36"/>
    <mergeCell ref="AW34:BA36"/>
    <mergeCell ref="BC34:BE36"/>
    <mergeCell ref="BF34:BH39"/>
    <mergeCell ref="A49:BH49"/>
    <mergeCell ref="K51:AK51"/>
    <mergeCell ref="BF43:BH45"/>
    <mergeCell ref="A46:G48"/>
    <mergeCell ref="H46:J48"/>
    <mergeCell ref="K46:AV48"/>
    <mergeCell ref="AW46:BA48"/>
    <mergeCell ref="BC46:BE48"/>
    <mergeCell ref="BF46:BH48"/>
    <mergeCell ref="A43:G45"/>
    <mergeCell ref="H43:J45"/>
    <mergeCell ref="K43:AV45"/>
    <mergeCell ref="AW43:BA45"/>
    <mergeCell ref="BC43:BE45"/>
    <mergeCell ref="A40:G42"/>
    <mergeCell ref="H40:J42"/>
    <mergeCell ref="K40:AV42"/>
    <mergeCell ref="AW40:BA42"/>
    <mergeCell ref="BC40:BE42"/>
    <mergeCell ref="A37:G39"/>
    <mergeCell ref="H37:J39"/>
    <mergeCell ref="K37:AV39"/>
    <mergeCell ref="AW37:BA39"/>
    <mergeCell ref="BC37:BE39"/>
    <mergeCell ref="A24:G26"/>
    <mergeCell ref="H24:J26"/>
    <mergeCell ref="K24:AV26"/>
    <mergeCell ref="AW24:BA26"/>
    <mergeCell ref="BC24:BE26"/>
    <mergeCell ref="A34:G36"/>
    <mergeCell ref="A29:G31"/>
    <mergeCell ref="BB34:BB36"/>
    <mergeCell ref="BB37:BB39"/>
    <mergeCell ref="BB40:BB42"/>
    <mergeCell ref="BF29:BH31"/>
    <mergeCell ref="A27:G28"/>
    <mergeCell ref="BC29:BE31"/>
    <mergeCell ref="BF32:BH33"/>
    <mergeCell ref="A32:G33"/>
    <mergeCell ref="H32:J33"/>
    <mergeCell ref="K32:AV33"/>
    <mergeCell ref="AW32:BA33"/>
    <mergeCell ref="BC32:BE33"/>
    <mergeCell ref="BC27:BE28"/>
    <mergeCell ref="BF27:BH28"/>
    <mergeCell ref="H29:J31"/>
    <mergeCell ref="K29:AV31"/>
    <mergeCell ref="AW29:BA31"/>
    <mergeCell ref="BB29:BB31"/>
    <mergeCell ref="BB32:BB33"/>
    <mergeCell ref="A21:G23"/>
    <mergeCell ref="H21:J23"/>
    <mergeCell ref="K21:AV23"/>
    <mergeCell ref="AW21:BA23"/>
    <mergeCell ref="BC21:BE23"/>
    <mergeCell ref="BC15:BE17"/>
    <mergeCell ref="BF24:BH26"/>
    <mergeCell ref="H27:J28"/>
    <mergeCell ref="K27:AV28"/>
    <mergeCell ref="AW27:BA28"/>
    <mergeCell ref="BC18:BE20"/>
    <mergeCell ref="BF18:BH23"/>
    <mergeCell ref="BF15:BH17"/>
    <mergeCell ref="BB15:BB17"/>
    <mergeCell ref="BB18:BB20"/>
    <mergeCell ref="BB21:BB23"/>
    <mergeCell ref="BB24:BB26"/>
    <mergeCell ref="BB27:BB28"/>
    <mergeCell ref="A13:J13"/>
    <mergeCell ref="K13:O13"/>
    <mergeCell ref="P13:Y13"/>
    <mergeCell ref="Z13:AG13"/>
    <mergeCell ref="O12:R12"/>
    <mergeCell ref="A15:G17"/>
    <mergeCell ref="A18:G20"/>
    <mergeCell ref="AW15:BA17"/>
    <mergeCell ref="AW18:BA20"/>
    <mergeCell ref="K15:AV17"/>
    <mergeCell ref="K18:AV20"/>
    <mergeCell ref="H15:J17"/>
    <mergeCell ref="H18:J20"/>
    <mergeCell ref="AH13:AP13"/>
    <mergeCell ref="AQ13:BA13"/>
    <mergeCell ref="BB43:BB45"/>
    <mergeCell ref="BB46:BB48"/>
    <mergeCell ref="H6:AS7"/>
    <mergeCell ref="AT6:BA7"/>
    <mergeCell ref="A1:G7"/>
    <mergeCell ref="BC4:BH5"/>
    <mergeCell ref="BC6:BH7"/>
    <mergeCell ref="H1:BA2"/>
    <mergeCell ref="H3:BA4"/>
    <mergeCell ref="H5:BA5"/>
    <mergeCell ref="BC1:BH3"/>
    <mergeCell ref="BC14:BE14"/>
    <mergeCell ref="BF14:BH14"/>
    <mergeCell ref="K14:AV14"/>
    <mergeCell ref="BC8:BH13"/>
    <mergeCell ref="AL11:BA11"/>
    <mergeCell ref="A9:L9"/>
    <mergeCell ref="AA11:AG11"/>
    <mergeCell ref="A11:L11"/>
    <mergeCell ref="M11:U11"/>
    <mergeCell ref="A14:G14"/>
    <mergeCell ref="H14:J14"/>
    <mergeCell ref="AW14:BA14"/>
  </mergeCells>
  <conditionalFormatting sqref="BC29">
    <cfRule type="cellIs" dxfId="16" priority="14" operator="lessThan">
      <formula>3</formula>
    </cfRule>
  </conditionalFormatting>
  <conditionalFormatting sqref="BC32">
    <cfRule type="cellIs" dxfId="15" priority="12" operator="lessThan">
      <formula>3</formula>
    </cfRule>
  </conditionalFormatting>
  <conditionalFormatting sqref="BC34">
    <cfRule type="cellIs" dxfId="14" priority="10" operator="lessThan">
      <formula>3</formula>
    </cfRule>
  </conditionalFormatting>
  <conditionalFormatting sqref="BC37">
    <cfRule type="cellIs" dxfId="13" priority="6" operator="lessThan">
      <formula>3</formula>
    </cfRule>
  </conditionalFormatting>
  <conditionalFormatting sqref="BC40">
    <cfRule type="cellIs" dxfId="12" priority="5" operator="lessThan">
      <formula>3</formula>
    </cfRule>
  </conditionalFormatting>
  <conditionalFormatting sqref="BC43">
    <cfRule type="cellIs" dxfId="11" priority="4" operator="lessThan">
      <formula>3</formula>
    </cfRule>
  </conditionalFormatting>
  <conditionalFormatting sqref="BC46">
    <cfRule type="cellIs" dxfId="10" priority="2" operator="lessThan">
      <formula>3</formula>
    </cfRule>
  </conditionalFormatting>
  <conditionalFormatting sqref="BC15:BE28">
    <cfRule type="cellIs" dxfId="9" priority="16" operator="lessThan">
      <formula>3</formula>
    </cfRule>
  </conditionalFormatting>
  <conditionalFormatting sqref="BF18">
    <cfRule type="cellIs" dxfId="8" priority="21" operator="lessThan">
      <formula>3</formula>
    </cfRule>
  </conditionalFormatting>
  <conditionalFormatting sqref="BF29">
    <cfRule type="cellIs" dxfId="7" priority="13" operator="lessThan">
      <formula>3</formula>
    </cfRule>
  </conditionalFormatting>
  <conditionalFormatting sqref="BF32">
    <cfRule type="cellIs" dxfId="6" priority="11" operator="lessThan">
      <formula>3</formula>
    </cfRule>
  </conditionalFormatting>
  <conditionalFormatting sqref="BF34">
    <cfRule type="cellIs" dxfId="5" priority="8" operator="lessThan">
      <formula>3</formula>
    </cfRule>
  </conditionalFormatting>
  <conditionalFormatting sqref="BF40">
    <cfRule type="cellIs" dxfId="4" priority="7" operator="lessThan">
      <formula>3</formula>
    </cfRule>
  </conditionalFormatting>
  <conditionalFormatting sqref="BF43">
    <cfRule type="cellIs" dxfId="3" priority="3" operator="lessThan">
      <formula>3</formula>
    </cfRule>
  </conditionalFormatting>
  <conditionalFormatting sqref="BF46">
    <cfRule type="cellIs" dxfId="2" priority="1" operator="lessThan">
      <formula>3</formula>
    </cfRule>
  </conditionalFormatting>
  <conditionalFormatting sqref="BF15:BH17">
    <cfRule type="cellIs" dxfId="1" priority="23" operator="lessThan">
      <formula>3</formula>
    </cfRule>
  </conditionalFormatting>
  <conditionalFormatting sqref="BF24:BH28">
    <cfRule type="cellIs" dxfId="0" priority="15" operator="lessThan">
      <formula>3</formula>
    </cfRule>
  </conditionalFormatting>
  <printOptions horizontalCentered="1" verticalCentered="1"/>
  <pageMargins left="0.23622047244094491" right="0.23622047244094491" top="0.39370078740157483" bottom="0.74803149606299213" header="0.31496062992125984" footer="0.31496062992125984"/>
  <pageSetup paperSize="5" scale="97" orientation="portrait" r:id="rId1"/>
  <headerFooter scaleWithDoc="0" alignWithMargins="0">
    <oddFooter>&amp;CTELÉFONOS: SECRETARÍA 314 661 0344
e-mail &amp;"-,Negrita"&amp;K0070C0iedeoccidente@sedcaldas.gov.co&amp;"-,Normal"&amp;K01+000 
Cr 5 11-19 ANSERMA CALDAS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7</vt:i4>
      </vt:variant>
    </vt:vector>
  </HeadingPairs>
  <TitlesOfParts>
    <vt:vector size="8" baseType="lpstr">
      <vt:lpstr>Hoja1</vt:lpstr>
      <vt:lpstr>Hoja1!Área_de_impresión</vt:lpstr>
      <vt:lpstr>director</vt:lpstr>
      <vt:lpstr>pgrupo</vt:lpstr>
      <vt:lpstr>pie</vt:lpstr>
      <vt:lpstr>promedio</vt:lpstr>
      <vt:lpstr>tdirector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E DE OCCIDENTE</dc:creator>
  <cp:lastModifiedBy>coloccidente@hotmail.com Anserma</cp:lastModifiedBy>
  <cp:lastPrinted>2021-11-24T23:03:07Z</cp:lastPrinted>
  <dcterms:created xsi:type="dcterms:W3CDTF">2011-09-20T20:19:06Z</dcterms:created>
  <dcterms:modified xsi:type="dcterms:W3CDTF">2023-11-21T19:10:23Z</dcterms:modified>
</cp:coreProperties>
</file>