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RETARIAPC\Downloads\"/>
    </mc:Choice>
  </mc:AlternateContent>
  <xr:revisionPtr revIDLastSave="0" documentId="13_ncr:1_{2C44A7B0-7543-4534-8D9D-538E2AB85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Hoja1!$A$1:$BH$65</definedName>
    <definedName name="director">Hoja1!$K$61</definedName>
    <definedName name="pgrupo">Hoja1!$K$13</definedName>
    <definedName name="pie">Hoja1!$Z$13</definedName>
    <definedName name="promedio">Hoja1!$AQ$13</definedName>
    <definedName name="tdirector">Hoja1!$B$61</definedName>
    <definedName name="YEAR">Hoja1!$O$12</definedName>
  </definedNames>
  <calcPr calcId="191029"/>
</workbook>
</file>

<file path=xl/calcChain.xml><?xml version="1.0" encoding="utf-8"?>
<calcChain xmlns="http://schemas.openxmlformats.org/spreadsheetml/2006/main">
  <c r="BF36" i="1" l="1"/>
  <c r="BF41" i="1"/>
  <c r="BF27" i="1"/>
  <c r="BF15" i="1"/>
  <c r="BB13" i="1" l="1"/>
  <c r="BF21" i="1" l="1"/>
  <c r="BF56" i="1" l="1"/>
  <c r="BF53" i="1"/>
  <c r="BF50" i="1"/>
  <c r="BF34" i="1"/>
</calcChain>
</file>

<file path=xl/sharedStrings.xml><?xml version="1.0" encoding="utf-8"?>
<sst xmlns="http://schemas.openxmlformats.org/spreadsheetml/2006/main" count="43" uniqueCount="43">
  <si>
    <t>NIT 890802641-2  DANE 117042000561</t>
  </si>
  <si>
    <t>DEPENDENCIA</t>
  </si>
  <si>
    <t>Página:1-1
Código:
GAFMR-40-05</t>
  </si>
  <si>
    <t>SECRETARIA</t>
  </si>
  <si>
    <t>Nombre del estudiante</t>
  </si>
  <si>
    <t>Grado</t>
  </si>
  <si>
    <t>AREAS</t>
  </si>
  <si>
    <t>INAS</t>
  </si>
  <si>
    <t>INFORME DESCRIPTIVO</t>
  </si>
  <si>
    <t>DESEMPEÑO</t>
  </si>
  <si>
    <t>CIENCIAS NATURALES Y EDUCACION AMBIENTAL</t>
  </si>
  <si>
    <t>SEDE</t>
  </si>
  <si>
    <t>CIENCIAS SOCIALES</t>
  </si>
  <si>
    <t>E. FISICA, RECREACION Y DEPORTES</t>
  </si>
  <si>
    <t>HUMANIDADES Lengua Castellana</t>
  </si>
  <si>
    <t>Inglés</t>
  </si>
  <si>
    <t>ABREVIATURAS: INAS: inasistencia – DESEMPEÑO: valoración - SUPERIOR: Des. Superior (4.6 A 5.0)- ALTO: Des. Alto (4.0 A 4.5)- BASICO: Des. Basico(3.0 A 3.9) - BAJO: Des. Bajo(1.0 A 2.9)</t>
  </si>
  <si>
    <t>EDUCACION ARTISTICA</t>
  </si>
  <si>
    <t>Puesto Grupo</t>
  </si>
  <si>
    <t>Puesto I.E.</t>
  </si>
  <si>
    <t>KELLY YHOANA GIRALDO PINEDA</t>
  </si>
  <si>
    <t>INFORME</t>
  </si>
  <si>
    <t>5A</t>
  </si>
  <si>
    <t>SUCRE</t>
  </si>
  <si>
    <t>V.:02
26/01/2012</t>
  </si>
  <si>
    <t>SECRETARÍA DE EDUCACION DEPARTAMENTAL</t>
  </si>
  <si>
    <t>INSTITUCIÓN EDUCATIVA DE OCCIDENTE</t>
  </si>
  <si>
    <t>%</t>
  </si>
  <si>
    <t>Director(a) de Grupo</t>
  </si>
  <si>
    <t>Promedio</t>
  </si>
  <si>
    <t>Taller Ambiental</t>
  </si>
  <si>
    <t>Taller Ciudadano</t>
  </si>
  <si>
    <t>Danzas</t>
  </si>
  <si>
    <t>Teatro</t>
  </si>
  <si>
    <t>Taller Deportivo</t>
  </si>
  <si>
    <t>ETICA-PV Y RELIGION</t>
  </si>
  <si>
    <t>Taller Literario</t>
  </si>
  <si>
    <t>MATEMÁTICAS</t>
  </si>
  <si>
    <t>Comportamiento Social</t>
  </si>
  <si>
    <t>VALORAC.</t>
  </si>
  <si>
    <t>DEFINIT.</t>
  </si>
  <si>
    <t>TECNOLOGÍA E INFORMATICA</t>
  </si>
  <si>
    <t>INFORME DE DESEMPEÑOS ACADÉMICOS POR PERIODOS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</si>
</sst>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Arial"/>
      <family val="2"/>
    </font>
    <font>
      <sz val="7.8"/>
      <color theme="1"/>
      <name val="Arial"/>
      <family val="2"/>
    </font>
    <font>
      <b/>
      <sz val="9"/>
      <color theme="0"/>
      <name val="Arial"/>
      <family val="2"/>
    </font>
    <font>
      <sz val="6"/>
      <color theme="1"/>
      <name val="Calibri"/>
      <family val="2"/>
      <scheme val="minor"/>
    </font>
    <font>
      <b/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16"/>
      <color theme="1"/>
      <name val="Arial"/>
      <family val="2"/>
    </font>
    <font>
      <b/>
      <sz val="7"/>
      <color theme="1"/>
      <name val="Arial"/>
      <family val="2"/>
    </font>
    <font>
      <b/>
      <sz val="7"/>
      <color theme="1"/>
      <name val="Calibri"/>
      <family val="2"/>
      <scheme val="minor"/>
    </font>
    <font>
      <i/>
      <sz val="7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7" fillId="0" borderId="6" xfId="0" applyFont="1" applyBorder="1"/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3" xfId="0" applyFont="1" applyBorder="1"/>
    <xf numFmtId="0" fontId="3" fillId="0" borderId="0" xfId="0" applyFont="1"/>
    <xf numFmtId="0" fontId="7" fillId="0" borderId="8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justify" vertical="top"/>
    </xf>
    <xf numFmtId="0" fontId="5" fillId="0" borderId="3" xfId="0" applyFont="1" applyBorder="1" applyAlignment="1">
      <alignment horizontal="justify" vertical="top"/>
    </xf>
    <xf numFmtId="0" fontId="5" fillId="0" borderId="4" xfId="0" applyFont="1" applyBorder="1" applyAlignment="1">
      <alignment horizontal="justify" vertical="top"/>
    </xf>
    <xf numFmtId="0" fontId="5" fillId="0" borderId="5" xfId="0" applyFont="1" applyBorder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5" fillId="0" borderId="6" xfId="0" applyFont="1" applyBorder="1" applyAlignment="1">
      <alignment horizontal="justify" vertical="top"/>
    </xf>
    <xf numFmtId="0" fontId="5" fillId="0" borderId="7" xfId="0" applyFont="1" applyBorder="1" applyAlignment="1">
      <alignment horizontal="justify" vertical="top"/>
    </xf>
    <xf numFmtId="0" fontId="5" fillId="0" borderId="8" xfId="0" applyFont="1" applyBorder="1" applyAlignment="1">
      <alignment horizontal="justify" vertical="top"/>
    </xf>
    <xf numFmtId="0" fontId="5" fillId="0" borderId="9" xfId="0" applyFont="1" applyBorder="1" applyAlignment="1">
      <alignment horizontal="justify"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top" wrapText="1"/>
    </xf>
    <xf numFmtId="0" fontId="12" fillId="0" borderId="3" xfId="0" applyFont="1" applyBorder="1" applyAlignment="1">
      <alignment horizontal="justify" vertical="top" wrapText="1"/>
    </xf>
    <xf numFmtId="0" fontId="12" fillId="0" borderId="4" xfId="0" applyFont="1" applyBorder="1" applyAlignment="1">
      <alignment horizontal="justify" vertical="top" wrapText="1"/>
    </xf>
    <xf numFmtId="0" fontId="12" fillId="0" borderId="5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justify" vertical="top" wrapText="1"/>
    </xf>
    <xf numFmtId="0" fontId="12" fillId="0" borderId="8" xfId="0" applyFont="1" applyBorder="1" applyAlignment="1">
      <alignment horizontal="justify" vertical="top" wrapText="1"/>
    </xf>
    <xf numFmtId="0" fontId="12" fillId="0" borderId="9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justify" vertical="top" wrapText="1"/>
    </xf>
    <xf numFmtId="0" fontId="5" fillId="0" borderId="4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5" fillId="0" borderId="0" xfId="0" applyFont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7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5" fillId="0" borderId="9" xfId="0" applyFont="1" applyBorder="1" applyAlignment="1">
      <alignment horizontal="justify" vertical="top" wrapText="1"/>
    </xf>
    <xf numFmtId="164" fontId="5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3" fillId="0" borderId="0" xfId="0" applyFont="1"/>
    <xf numFmtId="0" fontId="3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left" wrapText="1"/>
    </xf>
    <xf numFmtId="2" fontId="2" fillId="0" borderId="3" xfId="0" applyNumberFormat="1" applyFont="1" applyBorder="1" applyAlignment="1">
      <alignment horizontal="left" wrapText="1"/>
    </xf>
    <xf numFmtId="2" fontId="2" fillId="0" borderId="4" xfId="0" applyNumberFormat="1" applyFont="1" applyBorder="1" applyAlignment="1">
      <alignment horizontal="left" wrapText="1"/>
    </xf>
    <xf numFmtId="2" fontId="2" fillId="0" borderId="5" xfId="0" applyNumberFormat="1" applyFont="1" applyBorder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2" fontId="2" fillId="0" borderId="6" xfId="0" applyNumberFormat="1" applyFont="1" applyBorder="1" applyAlignment="1">
      <alignment horizontal="left" wrapText="1"/>
    </xf>
    <xf numFmtId="2" fontId="2" fillId="0" borderId="7" xfId="0" applyNumberFormat="1" applyFont="1" applyBorder="1" applyAlignment="1">
      <alignment horizontal="left" wrapText="1"/>
    </xf>
    <xf numFmtId="2" fontId="2" fillId="0" borderId="8" xfId="0" applyNumberFormat="1" applyFont="1" applyBorder="1" applyAlignment="1">
      <alignment horizontal="left" wrapText="1"/>
    </xf>
    <xf numFmtId="2" fontId="2" fillId="0" borderId="9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18"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</dxfs>
  <tableStyles count="0" defaultTableStyle="TableStyleMedium9" defaultPivotStyle="PivotStyleLight16"/>
  <colors>
    <mruColors>
      <color rgb="FFFFFFCC"/>
      <color rgb="FFFF99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1</xdr:row>
      <xdr:rowOff>19051</xdr:rowOff>
    </xdr:from>
    <xdr:to>
      <xdr:col>6</xdr:col>
      <xdr:colOff>10791</xdr:colOff>
      <xdr:row>5</xdr:row>
      <xdr:rowOff>131381</xdr:rowOff>
    </xdr:to>
    <xdr:pic>
      <xdr:nvPicPr>
        <xdr:cNvPr id="4" name="3 Imagen" descr="Escudo Colegio Occidente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4" y="163568"/>
          <a:ext cx="652908" cy="834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5"/>
  <sheetViews>
    <sheetView tabSelected="1" view="pageBreakPreview" zoomScale="115" zoomScaleSheetLayoutView="115" workbookViewId="0">
      <selection activeCell="M9" sqref="M9:BA9"/>
    </sheetView>
  </sheetViews>
  <sheetFormatPr baseColWidth="10" defaultColWidth="1.6640625" defaultRowHeight="12" x14ac:dyDescent="0.25"/>
  <cols>
    <col min="1" max="1" width="1.6640625" style="4"/>
    <col min="2" max="2" width="2" style="4" customWidth="1"/>
    <col min="3" max="6" width="1.6640625" style="4"/>
    <col min="7" max="7" width="0.6640625" style="4" customWidth="1"/>
    <col min="8" max="9" width="1.6640625" style="4"/>
    <col min="10" max="10" width="0.6640625" style="4" hidden="1" customWidth="1"/>
    <col min="11" max="48" width="1.6640625" style="4"/>
    <col min="49" max="53" width="1.5546875" style="4" customWidth="1"/>
    <col min="54" max="54" width="3.6640625" style="4" customWidth="1"/>
    <col min="55" max="57" width="2" style="4" customWidth="1"/>
    <col min="58" max="60" width="2.109375" style="4" customWidth="1"/>
    <col min="61" max="16384" width="1.6640625" style="4"/>
  </cols>
  <sheetData>
    <row r="1" spans="1:60" ht="11.25" customHeight="1" x14ac:dyDescent="0.3">
      <c r="A1" s="110"/>
      <c r="B1" s="110"/>
      <c r="C1" s="110"/>
      <c r="D1" s="110"/>
      <c r="E1" s="110"/>
      <c r="F1" s="110"/>
      <c r="G1" s="110"/>
      <c r="H1" s="113" t="s">
        <v>25</v>
      </c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"/>
      <c r="BC1" s="120" t="s">
        <v>2</v>
      </c>
      <c r="BD1" s="121"/>
      <c r="BE1" s="121"/>
      <c r="BF1" s="121"/>
      <c r="BG1" s="121"/>
      <c r="BH1" s="121"/>
    </row>
    <row r="2" spans="1:60" ht="15" customHeight="1" x14ac:dyDescent="0.3">
      <c r="A2" s="110"/>
      <c r="B2" s="110"/>
      <c r="C2" s="110"/>
      <c r="D2" s="110"/>
      <c r="E2" s="110"/>
      <c r="F2" s="110"/>
      <c r="G2" s="110"/>
      <c r="H2" s="115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2"/>
      <c r="BC2" s="121"/>
      <c r="BD2" s="121"/>
      <c r="BE2" s="121"/>
      <c r="BF2" s="121"/>
      <c r="BG2" s="121"/>
      <c r="BH2" s="121"/>
    </row>
    <row r="3" spans="1:60" ht="15" customHeight="1" x14ac:dyDescent="0.3">
      <c r="A3" s="110"/>
      <c r="B3" s="110"/>
      <c r="C3" s="110"/>
      <c r="D3" s="110"/>
      <c r="E3" s="110"/>
      <c r="F3" s="110"/>
      <c r="G3" s="110"/>
      <c r="H3" s="117" t="s">
        <v>26</v>
      </c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2"/>
      <c r="BC3" s="121"/>
      <c r="BD3" s="121"/>
      <c r="BE3" s="121"/>
      <c r="BF3" s="121"/>
      <c r="BG3" s="121"/>
      <c r="BH3" s="121"/>
    </row>
    <row r="4" spans="1:60" ht="15" customHeight="1" x14ac:dyDescent="0.3">
      <c r="A4" s="110"/>
      <c r="B4" s="110"/>
      <c r="C4" s="110"/>
      <c r="D4" s="110"/>
      <c r="E4" s="110"/>
      <c r="F4" s="110"/>
      <c r="G4" s="110"/>
      <c r="H4" s="115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2"/>
      <c r="BC4" s="111" t="s">
        <v>24</v>
      </c>
      <c r="BD4" s="112"/>
      <c r="BE4" s="112"/>
      <c r="BF4" s="112"/>
      <c r="BG4" s="112"/>
      <c r="BH4" s="112"/>
    </row>
    <row r="5" spans="1:60" x14ac:dyDescent="0.25">
      <c r="A5" s="110"/>
      <c r="B5" s="110"/>
      <c r="C5" s="110"/>
      <c r="D5" s="110"/>
      <c r="E5" s="110"/>
      <c r="F5" s="110"/>
      <c r="G5" s="110"/>
      <c r="H5" s="118" t="s">
        <v>0</v>
      </c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3"/>
      <c r="BC5" s="112"/>
      <c r="BD5" s="112"/>
      <c r="BE5" s="112"/>
      <c r="BF5" s="112"/>
      <c r="BG5" s="112"/>
      <c r="BH5" s="112"/>
    </row>
    <row r="6" spans="1:60" ht="12" customHeight="1" x14ac:dyDescent="0.25">
      <c r="A6" s="110"/>
      <c r="B6" s="110"/>
      <c r="C6" s="110"/>
      <c r="D6" s="110"/>
      <c r="E6" s="110"/>
      <c r="F6" s="110"/>
      <c r="G6" s="110"/>
      <c r="H6" s="106" t="s">
        <v>42</v>
      </c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35" t="s">
        <v>1</v>
      </c>
      <c r="AU6" s="35"/>
      <c r="AV6" s="35"/>
      <c r="AW6" s="35"/>
      <c r="AX6" s="35"/>
      <c r="AY6" s="35"/>
      <c r="AZ6" s="35"/>
      <c r="BA6" s="36"/>
      <c r="BB6" s="7"/>
      <c r="BC6" s="63" t="s">
        <v>3</v>
      </c>
      <c r="BD6" s="63"/>
      <c r="BE6" s="63"/>
      <c r="BF6" s="63"/>
      <c r="BG6" s="63"/>
      <c r="BH6" s="63"/>
    </row>
    <row r="7" spans="1:60" x14ac:dyDescent="0.25">
      <c r="A7" s="110"/>
      <c r="B7" s="110"/>
      <c r="C7" s="110"/>
      <c r="D7" s="110"/>
      <c r="E7" s="110"/>
      <c r="F7" s="110"/>
      <c r="G7" s="110"/>
      <c r="H7" s="108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41"/>
      <c r="AU7" s="41"/>
      <c r="AV7" s="41"/>
      <c r="AW7" s="41"/>
      <c r="AX7" s="41"/>
      <c r="AY7" s="41"/>
      <c r="AZ7" s="41"/>
      <c r="BA7" s="42"/>
      <c r="BB7" s="8"/>
      <c r="BC7" s="63"/>
      <c r="BD7" s="63"/>
      <c r="BE7" s="63"/>
      <c r="BF7" s="63"/>
      <c r="BG7" s="63"/>
      <c r="BH7" s="63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24"/>
      <c r="BD8" s="125"/>
      <c r="BE8" s="125"/>
      <c r="BF8" s="125"/>
      <c r="BG8" s="125"/>
      <c r="BH8" s="126"/>
    </row>
    <row r="9" spans="1:60" ht="13.2" x14ac:dyDescent="0.25">
      <c r="A9" s="134" t="s">
        <v>4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49" t="s">
        <v>20</v>
      </c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"/>
      <c r="BC9" s="127"/>
      <c r="BD9" s="128"/>
      <c r="BE9" s="128"/>
      <c r="BF9" s="128"/>
      <c r="BG9" s="128"/>
      <c r="BH9" s="129"/>
    </row>
    <row r="10" spans="1:60" x14ac:dyDescent="0.25">
      <c r="V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27"/>
      <c r="BD10" s="128"/>
      <c r="BE10" s="128"/>
      <c r="BF10" s="128"/>
      <c r="BG10" s="128"/>
      <c r="BH10" s="129"/>
    </row>
    <row r="11" spans="1:60" ht="13.2" x14ac:dyDescent="0.25">
      <c r="A11" s="136" t="s">
        <v>21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7"/>
      <c r="N11" s="138"/>
      <c r="O11" s="138"/>
      <c r="P11" s="138"/>
      <c r="Q11" s="138"/>
      <c r="R11" s="138"/>
      <c r="S11" s="138"/>
      <c r="T11" s="138"/>
      <c r="U11" s="139"/>
      <c r="V11" s="1"/>
      <c r="W11" s="5" t="s">
        <v>5</v>
      </c>
      <c r="X11" s="5"/>
      <c r="Y11" s="5"/>
      <c r="Z11" s="5"/>
      <c r="AA11" s="135" t="s">
        <v>22</v>
      </c>
      <c r="AB11" s="135"/>
      <c r="AC11" s="135"/>
      <c r="AD11" s="135"/>
      <c r="AE11" s="135"/>
      <c r="AF11" s="135"/>
      <c r="AG11" s="135"/>
      <c r="AH11" s="5"/>
      <c r="AI11" s="5" t="s">
        <v>11</v>
      </c>
      <c r="AJ11" s="6"/>
      <c r="AL11" s="133" t="s">
        <v>23</v>
      </c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0"/>
      <c r="BC11" s="127"/>
      <c r="BD11" s="128"/>
      <c r="BE11" s="128"/>
      <c r="BF11" s="128"/>
      <c r="BG11" s="128"/>
      <c r="BH11" s="129"/>
    </row>
    <row r="12" spans="1:6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98"/>
      <c r="P12" s="99"/>
      <c r="Q12" s="99"/>
      <c r="R12" s="99"/>
      <c r="S12" s="3"/>
      <c r="T12" s="3"/>
      <c r="U12" s="3"/>
      <c r="V12" s="1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3"/>
      <c r="AK12" s="3"/>
      <c r="AL12" s="3"/>
      <c r="AM12" s="3"/>
      <c r="AN12" s="3"/>
      <c r="AO12" s="3"/>
      <c r="AP12" s="3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27"/>
      <c r="BD12" s="128"/>
      <c r="BE12" s="128"/>
      <c r="BF12" s="128"/>
      <c r="BG12" s="128"/>
      <c r="BH12" s="129"/>
    </row>
    <row r="13" spans="1:60" ht="21" x14ac:dyDescent="0.3">
      <c r="A13" s="96" t="s">
        <v>18</v>
      </c>
      <c r="B13" s="96"/>
      <c r="C13" s="96"/>
      <c r="D13" s="96"/>
      <c r="E13" s="96"/>
      <c r="F13" s="96"/>
      <c r="G13" s="96"/>
      <c r="H13" s="96"/>
      <c r="I13" s="96"/>
      <c r="J13" s="96"/>
      <c r="K13" s="97"/>
      <c r="L13" s="97"/>
      <c r="M13" s="97"/>
      <c r="N13" s="97"/>
      <c r="O13" s="97"/>
      <c r="P13" s="96" t="s">
        <v>19</v>
      </c>
      <c r="Q13" s="96"/>
      <c r="R13" s="96"/>
      <c r="S13" s="96"/>
      <c r="T13" s="96"/>
      <c r="U13" s="96"/>
      <c r="V13" s="96"/>
      <c r="W13" s="96"/>
      <c r="X13" s="96"/>
      <c r="Y13" s="96"/>
      <c r="Z13" s="97"/>
      <c r="AA13" s="97"/>
      <c r="AB13" s="97"/>
      <c r="AC13" s="97"/>
      <c r="AD13" s="97"/>
      <c r="AE13" s="97"/>
      <c r="AF13" s="97"/>
      <c r="AG13" s="97"/>
      <c r="AH13" s="96" t="s">
        <v>29</v>
      </c>
      <c r="AI13" s="96"/>
      <c r="AJ13" s="96"/>
      <c r="AK13" s="96"/>
      <c r="AL13" s="96"/>
      <c r="AM13" s="96"/>
      <c r="AN13" s="96"/>
      <c r="AO13" s="96"/>
      <c r="AP13" s="96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4" t="str">
        <f>IF(promedio&gt;=4.5,"😍",IF(AND(promedio&gt;=4,promedio&lt;4.5),"😊",IF(AND(promedio&gt;=3,promedio&lt;4),"🙄","😭")))</f>
        <v>😭</v>
      </c>
      <c r="BC13" s="130"/>
      <c r="BD13" s="131"/>
      <c r="BE13" s="131"/>
      <c r="BF13" s="131"/>
      <c r="BG13" s="131"/>
      <c r="BH13" s="132"/>
    </row>
    <row r="14" spans="1:60" x14ac:dyDescent="0.25">
      <c r="A14" s="123" t="s">
        <v>6</v>
      </c>
      <c r="B14" s="123"/>
      <c r="C14" s="123"/>
      <c r="D14" s="123"/>
      <c r="E14" s="123"/>
      <c r="F14" s="123"/>
      <c r="G14" s="123"/>
      <c r="H14" s="140" t="s">
        <v>7</v>
      </c>
      <c r="I14" s="140"/>
      <c r="J14" s="140"/>
      <c r="K14" s="123" t="s">
        <v>8</v>
      </c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40" t="s">
        <v>9</v>
      </c>
      <c r="AX14" s="140"/>
      <c r="AY14" s="140"/>
      <c r="AZ14" s="140"/>
      <c r="BA14" s="140"/>
      <c r="BB14" s="9" t="s">
        <v>27</v>
      </c>
      <c r="BC14" s="122" t="s">
        <v>39</v>
      </c>
      <c r="BD14" s="122"/>
      <c r="BE14" s="122"/>
      <c r="BF14" s="123" t="s">
        <v>40</v>
      </c>
      <c r="BG14" s="123"/>
      <c r="BH14" s="123"/>
    </row>
    <row r="15" spans="1:60" ht="15" customHeight="1" x14ac:dyDescent="0.25">
      <c r="A15" s="100" t="s">
        <v>10</v>
      </c>
      <c r="B15" s="100"/>
      <c r="C15" s="100"/>
      <c r="D15" s="100"/>
      <c r="E15" s="100"/>
      <c r="F15" s="100"/>
      <c r="G15" s="100"/>
      <c r="H15" s="24"/>
      <c r="I15" s="24"/>
      <c r="J15" s="24"/>
      <c r="K15" s="5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5"/>
      <c r="AW15" s="34"/>
      <c r="AX15" s="35"/>
      <c r="AY15" s="35"/>
      <c r="AZ15" s="35"/>
      <c r="BA15" s="35"/>
      <c r="BB15" s="76"/>
      <c r="BC15" s="72"/>
      <c r="BD15" s="72"/>
      <c r="BE15" s="72"/>
      <c r="BF15" s="18">
        <f>(BB15*BC15+BB18*BC18)/100</f>
        <v>0</v>
      </c>
      <c r="BG15" s="19"/>
      <c r="BH15" s="20"/>
    </row>
    <row r="16" spans="1:60" ht="15" customHeight="1" x14ac:dyDescent="0.25">
      <c r="A16" s="100"/>
      <c r="B16" s="100"/>
      <c r="C16" s="100"/>
      <c r="D16" s="100"/>
      <c r="E16" s="100"/>
      <c r="F16" s="100"/>
      <c r="G16" s="100"/>
      <c r="H16" s="24"/>
      <c r="I16" s="24"/>
      <c r="J16" s="24"/>
      <c r="K16" s="66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8"/>
      <c r="AW16" s="37"/>
      <c r="AX16" s="38"/>
      <c r="AY16" s="38"/>
      <c r="AZ16" s="38"/>
      <c r="BA16" s="38"/>
      <c r="BB16" s="77"/>
      <c r="BC16" s="72"/>
      <c r="BD16" s="72"/>
      <c r="BE16" s="72"/>
      <c r="BF16" s="21"/>
      <c r="BG16" s="22"/>
      <c r="BH16" s="23"/>
    </row>
    <row r="17" spans="1:60" ht="15" customHeight="1" x14ac:dyDescent="0.25">
      <c r="A17" s="100"/>
      <c r="B17" s="100"/>
      <c r="C17" s="100"/>
      <c r="D17" s="100"/>
      <c r="E17" s="100"/>
      <c r="F17" s="100"/>
      <c r="G17" s="100"/>
      <c r="H17" s="24"/>
      <c r="I17" s="24"/>
      <c r="J17" s="24"/>
      <c r="K17" s="69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1"/>
      <c r="AW17" s="40"/>
      <c r="AX17" s="41"/>
      <c r="AY17" s="41"/>
      <c r="AZ17" s="41"/>
      <c r="BA17" s="41"/>
      <c r="BB17" s="78"/>
      <c r="BC17" s="72"/>
      <c r="BD17" s="72"/>
      <c r="BE17" s="72"/>
      <c r="BF17" s="21"/>
      <c r="BG17" s="22"/>
      <c r="BH17" s="23"/>
    </row>
    <row r="18" spans="1:60" ht="10.199999999999999" customHeight="1" x14ac:dyDescent="0.25">
      <c r="A18" s="105" t="s">
        <v>30</v>
      </c>
      <c r="B18" s="105"/>
      <c r="C18" s="105"/>
      <c r="D18" s="105"/>
      <c r="E18" s="105"/>
      <c r="F18" s="105"/>
      <c r="G18" s="105"/>
      <c r="H18" s="24"/>
      <c r="I18" s="24"/>
      <c r="J18" s="24"/>
      <c r="K18" s="5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5"/>
      <c r="AW18" s="34"/>
      <c r="AX18" s="35"/>
      <c r="AY18" s="35"/>
      <c r="AZ18" s="35"/>
      <c r="BA18" s="35"/>
      <c r="BB18" s="76"/>
      <c r="BC18" s="72"/>
      <c r="BD18" s="72"/>
      <c r="BE18" s="72"/>
      <c r="BF18" s="21"/>
      <c r="BG18" s="22"/>
      <c r="BH18" s="23"/>
    </row>
    <row r="19" spans="1:60" ht="10.199999999999999" customHeight="1" x14ac:dyDescent="0.25">
      <c r="A19" s="105"/>
      <c r="B19" s="105"/>
      <c r="C19" s="105"/>
      <c r="D19" s="105"/>
      <c r="E19" s="105"/>
      <c r="F19" s="105"/>
      <c r="G19" s="105"/>
      <c r="H19" s="24"/>
      <c r="I19" s="24"/>
      <c r="J19" s="24"/>
      <c r="K19" s="66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8"/>
      <c r="AW19" s="37"/>
      <c r="AX19" s="38"/>
      <c r="AY19" s="38"/>
      <c r="AZ19" s="38"/>
      <c r="BA19" s="38"/>
      <c r="BB19" s="77"/>
      <c r="BC19" s="72"/>
      <c r="BD19" s="72"/>
      <c r="BE19" s="72"/>
      <c r="BF19" s="21"/>
      <c r="BG19" s="22"/>
      <c r="BH19" s="23"/>
    </row>
    <row r="20" spans="1:60" ht="10.199999999999999" customHeight="1" x14ac:dyDescent="0.25">
      <c r="A20" s="105"/>
      <c r="B20" s="105"/>
      <c r="C20" s="105"/>
      <c r="D20" s="105"/>
      <c r="E20" s="105"/>
      <c r="F20" s="105"/>
      <c r="G20" s="105"/>
      <c r="H20" s="24"/>
      <c r="I20" s="24"/>
      <c r="J20" s="24"/>
      <c r="K20" s="69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1"/>
      <c r="AW20" s="40"/>
      <c r="AX20" s="41"/>
      <c r="AY20" s="41"/>
      <c r="AZ20" s="41"/>
      <c r="BA20" s="41"/>
      <c r="BB20" s="78"/>
      <c r="BC20" s="72"/>
      <c r="BD20" s="72"/>
      <c r="BE20" s="72"/>
      <c r="BF20" s="43"/>
      <c r="BG20" s="44"/>
      <c r="BH20" s="45"/>
    </row>
    <row r="21" spans="1:60" x14ac:dyDescent="0.25">
      <c r="A21" s="101" t="s">
        <v>12</v>
      </c>
      <c r="B21" s="102"/>
      <c r="C21" s="102"/>
      <c r="D21" s="102"/>
      <c r="E21" s="102"/>
      <c r="F21" s="102"/>
      <c r="G21" s="103"/>
      <c r="H21" s="24"/>
      <c r="I21" s="24"/>
      <c r="J21" s="24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7"/>
      <c r="AW21" s="63"/>
      <c r="AX21" s="63"/>
      <c r="AY21" s="63"/>
      <c r="AZ21" s="63"/>
      <c r="BA21" s="63"/>
      <c r="BB21" s="76"/>
      <c r="BC21" s="72"/>
      <c r="BD21" s="72"/>
      <c r="BE21" s="72"/>
      <c r="BF21" s="18">
        <f>(BC21*BB21+BC24*BB24)/100</f>
        <v>0</v>
      </c>
      <c r="BG21" s="19"/>
      <c r="BH21" s="20"/>
    </row>
    <row r="22" spans="1:60" x14ac:dyDescent="0.25">
      <c r="A22" s="101"/>
      <c r="B22" s="102"/>
      <c r="C22" s="102"/>
      <c r="D22" s="102"/>
      <c r="E22" s="102"/>
      <c r="F22" s="102"/>
      <c r="G22" s="103"/>
      <c r="H22" s="24"/>
      <c r="I22" s="24"/>
      <c r="J22" s="24"/>
      <c r="K22" s="28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30"/>
      <c r="AW22" s="63"/>
      <c r="AX22" s="63"/>
      <c r="AY22" s="63"/>
      <c r="AZ22" s="63"/>
      <c r="BA22" s="63"/>
      <c r="BB22" s="77"/>
      <c r="BC22" s="72"/>
      <c r="BD22" s="72"/>
      <c r="BE22" s="72"/>
      <c r="BF22" s="21"/>
      <c r="BG22" s="22"/>
      <c r="BH22" s="23"/>
    </row>
    <row r="23" spans="1:60" x14ac:dyDescent="0.25">
      <c r="A23" s="101"/>
      <c r="B23" s="102"/>
      <c r="C23" s="102"/>
      <c r="D23" s="102"/>
      <c r="E23" s="102"/>
      <c r="F23" s="102"/>
      <c r="G23" s="103"/>
      <c r="H23" s="24"/>
      <c r="I23" s="24"/>
      <c r="J23" s="24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3"/>
      <c r="AW23" s="63"/>
      <c r="AX23" s="63"/>
      <c r="AY23" s="63"/>
      <c r="AZ23" s="63"/>
      <c r="BA23" s="63"/>
      <c r="BB23" s="78"/>
      <c r="BC23" s="72"/>
      <c r="BD23" s="72"/>
      <c r="BE23" s="72"/>
      <c r="BF23" s="21"/>
      <c r="BG23" s="22"/>
      <c r="BH23" s="23"/>
    </row>
    <row r="24" spans="1:60" x14ac:dyDescent="0.25">
      <c r="A24" s="141" t="s">
        <v>31</v>
      </c>
      <c r="B24" s="141"/>
      <c r="C24" s="141"/>
      <c r="D24" s="141"/>
      <c r="E24" s="141"/>
      <c r="F24" s="141"/>
      <c r="G24" s="141"/>
      <c r="H24" s="24"/>
      <c r="I24" s="24"/>
      <c r="J24" s="24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7"/>
      <c r="AW24" s="63"/>
      <c r="AX24" s="63"/>
      <c r="AY24" s="63"/>
      <c r="AZ24" s="63"/>
      <c r="BA24" s="63"/>
      <c r="BB24" s="76"/>
      <c r="BC24" s="72"/>
      <c r="BD24" s="72"/>
      <c r="BE24" s="72"/>
      <c r="BF24" s="21"/>
      <c r="BG24" s="22"/>
      <c r="BH24" s="23"/>
    </row>
    <row r="25" spans="1:60" x14ac:dyDescent="0.25">
      <c r="A25" s="142"/>
      <c r="B25" s="142"/>
      <c r="C25" s="142"/>
      <c r="D25" s="142"/>
      <c r="E25" s="142"/>
      <c r="F25" s="142"/>
      <c r="G25" s="142"/>
      <c r="H25" s="24"/>
      <c r="I25" s="24"/>
      <c r="J25" s="24"/>
      <c r="K25" s="28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30"/>
      <c r="AW25" s="63"/>
      <c r="AX25" s="63"/>
      <c r="AY25" s="63"/>
      <c r="AZ25" s="63"/>
      <c r="BA25" s="63"/>
      <c r="BB25" s="77"/>
      <c r="BC25" s="72"/>
      <c r="BD25" s="72"/>
      <c r="BE25" s="72"/>
      <c r="BF25" s="21"/>
      <c r="BG25" s="22"/>
      <c r="BH25" s="23"/>
    </row>
    <row r="26" spans="1:60" x14ac:dyDescent="0.25">
      <c r="A26" s="142"/>
      <c r="B26" s="142"/>
      <c r="C26" s="142"/>
      <c r="D26" s="142"/>
      <c r="E26" s="142"/>
      <c r="F26" s="142"/>
      <c r="G26" s="142"/>
      <c r="H26" s="24"/>
      <c r="I26" s="24"/>
      <c r="J26" s="24"/>
      <c r="K26" s="31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3"/>
      <c r="AW26" s="63"/>
      <c r="AX26" s="63"/>
      <c r="AY26" s="63"/>
      <c r="AZ26" s="63"/>
      <c r="BA26" s="63"/>
      <c r="BB26" s="78"/>
      <c r="BC26" s="72"/>
      <c r="BD26" s="72"/>
      <c r="BE26" s="72"/>
      <c r="BF26" s="43"/>
      <c r="BG26" s="44"/>
      <c r="BH26" s="45"/>
    </row>
    <row r="27" spans="1:60" x14ac:dyDescent="0.25">
      <c r="A27" s="73" t="s">
        <v>17</v>
      </c>
      <c r="B27" s="74"/>
      <c r="C27" s="74"/>
      <c r="D27" s="74"/>
      <c r="E27" s="74"/>
      <c r="F27" s="74"/>
      <c r="G27" s="75"/>
      <c r="H27" s="24"/>
      <c r="I27" s="24"/>
      <c r="J27" s="24"/>
      <c r="K27" s="5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5"/>
      <c r="AW27" s="63"/>
      <c r="AX27" s="63"/>
      <c r="AY27" s="63"/>
      <c r="AZ27" s="63"/>
      <c r="BA27" s="63"/>
      <c r="BB27" s="36"/>
      <c r="BC27" s="72"/>
      <c r="BD27" s="72"/>
      <c r="BE27" s="72"/>
      <c r="BF27" s="18">
        <f>(BC27*BB27+BC30*BB30+BC32*BB32)/100</f>
        <v>0</v>
      </c>
      <c r="BG27" s="19"/>
      <c r="BH27" s="20"/>
    </row>
    <row r="28" spans="1:60" x14ac:dyDescent="0.25">
      <c r="A28" s="48"/>
      <c r="B28" s="49"/>
      <c r="C28" s="49"/>
      <c r="D28" s="49"/>
      <c r="E28" s="49"/>
      <c r="F28" s="49"/>
      <c r="G28" s="50"/>
      <c r="H28" s="24"/>
      <c r="I28" s="24"/>
      <c r="J28" s="24"/>
      <c r="K28" s="66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8"/>
      <c r="AW28" s="63"/>
      <c r="AX28" s="63"/>
      <c r="AY28" s="63"/>
      <c r="AZ28" s="63"/>
      <c r="BA28" s="63"/>
      <c r="BB28" s="39"/>
      <c r="BC28" s="72"/>
      <c r="BD28" s="72"/>
      <c r="BE28" s="72"/>
      <c r="BF28" s="21"/>
      <c r="BG28" s="22"/>
      <c r="BH28" s="23"/>
    </row>
    <row r="29" spans="1:60" x14ac:dyDescent="0.25">
      <c r="A29" s="48"/>
      <c r="B29" s="49"/>
      <c r="C29" s="49"/>
      <c r="D29" s="49"/>
      <c r="E29" s="49"/>
      <c r="F29" s="49"/>
      <c r="G29" s="50"/>
      <c r="H29" s="24"/>
      <c r="I29" s="24"/>
      <c r="J29" s="24"/>
      <c r="K29" s="69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1"/>
      <c r="AW29" s="63"/>
      <c r="AX29" s="63"/>
      <c r="AY29" s="63"/>
      <c r="AZ29" s="63"/>
      <c r="BA29" s="63"/>
      <c r="BB29" s="42"/>
      <c r="BC29" s="72"/>
      <c r="BD29" s="72"/>
      <c r="BE29" s="72"/>
      <c r="BF29" s="21"/>
      <c r="BG29" s="22"/>
      <c r="BH29" s="23"/>
    </row>
    <row r="30" spans="1:60" x14ac:dyDescent="0.25">
      <c r="A30" s="87" t="s">
        <v>32</v>
      </c>
      <c r="B30" s="88"/>
      <c r="C30" s="88"/>
      <c r="D30" s="88"/>
      <c r="E30" s="88"/>
      <c r="F30" s="88"/>
      <c r="G30" s="89"/>
      <c r="H30" s="24"/>
      <c r="I30" s="24"/>
      <c r="J30" s="24"/>
      <c r="K30" s="5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5"/>
      <c r="AW30" s="63"/>
      <c r="AX30" s="63"/>
      <c r="AY30" s="63"/>
      <c r="AZ30" s="63"/>
      <c r="BA30" s="63"/>
      <c r="BB30" s="36"/>
      <c r="BC30" s="72"/>
      <c r="BD30" s="72"/>
      <c r="BE30" s="72"/>
      <c r="BF30" s="21"/>
      <c r="BG30" s="22"/>
      <c r="BH30" s="23"/>
    </row>
    <row r="31" spans="1:60" x14ac:dyDescent="0.25">
      <c r="A31" s="79"/>
      <c r="B31" s="80"/>
      <c r="C31" s="80"/>
      <c r="D31" s="80"/>
      <c r="E31" s="80"/>
      <c r="F31" s="80"/>
      <c r="G31" s="81"/>
      <c r="H31" s="24"/>
      <c r="I31" s="24"/>
      <c r="J31" s="24"/>
      <c r="K31" s="66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8"/>
      <c r="AW31" s="63"/>
      <c r="AX31" s="63"/>
      <c r="AY31" s="63"/>
      <c r="AZ31" s="63"/>
      <c r="BA31" s="63"/>
      <c r="BB31" s="39"/>
      <c r="BC31" s="72"/>
      <c r="BD31" s="72"/>
      <c r="BE31" s="72"/>
      <c r="BF31" s="21"/>
      <c r="BG31" s="22"/>
      <c r="BH31" s="23"/>
    </row>
    <row r="32" spans="1:60" x14ac:dyDescent="0.25">
      <c r="A32" s="87" t="s">
        <v>33</v>
      </c>
      <c r="B32" s="88"/>
      <c r="C32" s="88"/>
      <c r="D32" s="88"/>
      <c r="E32" s="88"/>
      <c r="F32" s="88"/>
      <c r="G32" s="89"/>
      <c r="H32" s="24"/>
      <c r="I32" s="24"/>
      <c r="J32" s="24"/>
      <c r="K32" s="5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5"/>
      <c r="AW32" s="63"/>
      <c r="AX32" s="63"/>
      <c r="AY32" s="63"/>
      <c r="AZ32" s="63"/>
      <c r="BA32" s="63"/>
      <c r="BB32" s="36"/>
      <c r="BC32" s="72"/>
      <c r="BD32" s="72"/>
      <c r="BE32" s="72"/>
      <c r="BF32" s="21"/>
      <c r="BG32" s="22"/>
      <c r="BH32" s="23"/>
    </row>
    <row r="33" spans="1:60" x14ac:dyDescent="0.25">
      <c r="A33" s="79"/>
      <c r="B33" s="80"/>
      <c r="C33" s="80"/>
      <c r="D33" s="80"/>
      <c r="E33" s="80"/>
      <c r="F33" s="80"/>
      <c r="G33" s="81"/>
      <c r="H33" s="24"/>
      <c r="I33" s="24"/>
      <c r="J33" s="24"/>
      <c r="K33" s="66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8"/>
      <c r="AW33" s="63"/>
      <c r="AX33" s="63"/>
      <c r="AY33" s="63"/>
      <c r="AZ33" s="63"/>
      <c r="BA33" s="63"/>
      <c r="BB33" s="39"/>
      <c r="BC33" s="72"/>
      <c r="BD33" s="72"/>
      <c r="BE33" s="72"/>
      <c r="BF33" s="43"/>
      <c r="BG33" s="44"/>
      <c r="BH33" s="45"/>
    </row>
    <row r="34" spans="1:60" x14ac:dyDescent="0.25">
      <c r="A34" s="90" t="s">
        <v>35</v>
      </c>
      <c r="B34" s="91"/>
      <c r="C34" s="91"/>
      <c r="D34" s="91"/>
      <c r="E34" s="91"/>
      <c r="F34" s="91"/>
      <c r="G34" s="92"/>
      <c r="H34" s="143"/>
      <c r="I34" s="144"/>
      <c r="J34" s="145"/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7"/>
      <c r="AW34" s="24"/>
      <c r="AX34" s="24"/>
      <c r="AY34" s="24"/>
      <c r="AZ34" s="24"/>
      <c r="BA34" s="24"/>
      <c r="BB34" s="85"/>
      <c r="BC34" s="72"/>
      <c r="BD34" s="72"/>
      <c r="BE34" s="72"/>
      <c r="BF34" s="72">
        <f>BC34</f>
        <v>0</v>
      </c>
      <c r="BG34" s="72"/>
      <c r="BH34" s="72"/>
    </row>
    <row r="35" spans="1:60" x14ac:dyDescent="0.25">
      <c r="A35" s="93"/>
      <c r="B35" s="94"/>
      <c r="C35" s="94"/>
      <c r="D35" s="94"/>
      <c r="E35" s="94"/>
      <c r="F35" s="94"/>
      <c r="G35" s="95"/>
      <c r="H35" s="146"/>
      <c r="I35" s="147"/>
      <c r="J35" s="148"/>
      <c r="K35" s="31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3"/>
      <c r="AW35" s="24"/>
      <c r="AX35" s="24"/>
      <c r="AY35" s="24"/>
      <c r="AZ35" s="24"/>
      <c r="BA35" s="24"/>
      <c r="BB35" s="86"/>
      <c r="BC35" s="72"/>
      <c r="BD35" s="72"/>
      <c r="BE35" s="72"/>
      <c r="BF35" s="72"/>
      <c r="BG35" s="72"/>
      <c r="BH35" s="72"/>
    </row>
    <row r="36" spans="1:60" x14ac:dyDescent="0.25">
      <c r="A36" s="73" t="s">
        <v>13</v>
      </c>
      <c r="B36" s="74"/>
      <c r="C36" s="74"/>
      <c r="D36" s="74"/>
      <c r="E36" s="74"/>
      <c r="F36" s="74"/>
      <c r="G36" s="75"/>
      <c r="H36" s="24"/>
      <c r="I36" s="24"/>
      <c r="J36" s="24"/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7"/>
      <c r="AW36" s="63"/>
      <c r="AX36" s="63"/>
      <c r="AY36" s="63"/>
      <c r="AZ36" s="63"/>
      <c r="BA36" s="63"/>
      <c r="BB36" s="76"/>
      <c r="BC36" s="18"/>
      <c r="BD36" s="19"/>
      <c r="BE36" s="20"/>
      <c r="BF36" s="18">
        <f>(BC36*BB36+BC39*BB39)/100</f>
        <v>0</v>
      </c>
      <c r="BG36" s="19"/>
      <c r="BH36" s="20"/>
    </row>
    <row r="37" spans="1:60" x14ac:dyDescent="0.25">
      <c r="A37" s="48"/>
      <c r="B37" s="49"/>
      <c r="C37" s="49"/>
      <c r="D37" s="49"/>
      <c r="E37" s="49"/>
      <c r="F37" s="49"/>
      <c r="G37" s="50"/>
      <c r="H37" s="24"/>
      <c r="I37" s="24"/>
      <c r="J37" s="24"/>
      <c r="K37" s="28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30"/>
      <c r="AW37" s="63"/>
      <c r="AX37" s="63"/>
      <c r="AY37" s="63"/>
      <c r="AZ37" s="63"/>
      <c r="BA37" s="63"/>
      <c r="BB37" s="77"/>
      <c r="BC37" s="21"/>
      <c r="BD37" s="22"/>
      <c r="BE37" s="23"/>
      <c r="BF37" s="21"/>
      <c r="BG37" s="22"/>
      <c r="BH37" s="23"/>
    </row>
    <row r="38" spans="1:60" x14ac:dyDescent="0.25">
      <c r="A38" s="51"/>
      <c r="B38" s="52"/>
      <c r="C38" s="52"/>
      <c r="D38" s="52"/>
      <c r="E38" s="52"/>
      <c r="F38" s="52"/>
      <c r="G38" s="53"/>
      <c r="H38" s="24"/>
      <c r="I38" s="24"/>
      <c r="J38" s="24"/>
      <c r="K38" s="31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3"/>
      <c r="AW38" s="63"/>
      <c r="AX38" s="63"/>
      <c r="AY38" s="63"/>
      <c r="AZ38" s="63"/>
      <c r="BA38" s="63"/>
      <c r="BB38" s="78"/>
      <c r="BC38" s="43"/>
      <c r="BD38" s="44"/>
      <c r="BE38" s="45"/>
      <c r="BF38" s="21"/>
      <c r="BG38" s="22"/>
      <c r="BH38" s="23"/>
    </row>
    <row r="39" spans="1:60" x14ac:dyDescent="0.25">
      <c r="A39" s="87" t="s">
        <v>34</v>
      </c>
      <c r="B39" s="88"/>
      <c r="C39" s="88"/>
      <c r="D39" s="88"/>
      <c r="E39" s="88"/>
      <c r="F39" s="88"/>
      <c r="G39" s="89"/>
      <c r="H39" s="24"/>
      <c r="I39" s="24"/>
      <c r="J39" s="24"/>
      <c r="K39" s="25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7"/>
      <c r="AW39" s="63"/>
      <c r="AX39" s="63"/>
      <c r="AY39" s="63"/>
      <c r="AZ39" s="63"/>
      <c r="BA39" s="63"/>
      <c r="BB39" s="76"/>
      <c r="BC39" s="18"/>
      <c r="BD39" s="19"/>
      <c r="BE39" s="20"/>
      <c r="BF39" s="21"/>
      <c r="BG39" s="22"/>
      <c r="BH39" s="23"/>
    </row>
    <row r="40" spans="1:60" x14ac:dyDescent="0.25">
      <c r="A40" s="79"/>
      <c r="B40" s="80"/>
      <c r="C40" s="80"/>
      <c r="D40" s="80"/>
      <c r="E40" s="80"/>
      <c r="F40" s="80"/>
      <c r="G40" s="81"/>
      <c r="H40" s="24"/>
      <c r="I40" s="24"/>
      <c r="J40" s="24"/>
      <c r="K40" s="28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30"/>
      <c r="AW40" s="63"/>
      <c r="AX40" s="63"/>
      <c r="AY40" s="63"/>
      <c r="AZ40" s="63"/>
      <c r="BA40" s="63"/>
      <c r="BB40" s="78"/>
      <c r="BC40" s="21"/>
      <c r="BD40" s="22"/>
      <c r="BE40" s="23"/>
      <c r="BF40" s="43"/>
      <c r="BG40" s="44"/>
      <c r="BH40" s="45"/>
    </row>
    <row r="41" spans="1:60" ht="12" customHeight="1" x14ac:dyDescent="0.25">
      <c r="A41" s="73" t="s">
        <v>14</v>
      </c>
      <c r="B41" s="74"/>
      <c r="C41" s="74"/>
      <c r="D41" s="74"/>
      <c r="E41" s="74"/>
      <c r="F41" s="74"/>
      <c r="G41" s="75"/>
      <c r="H41" s="24"/>
      <c r="I41" s="24"/>
      <c r="J41" s="24"/>
      <c r="K41" s="25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7"/>
      <c r="AW41" s="34"/>
      <c r="AX41" s="35"/>
      <c r="AY41" s="35"/>
      <c r="AZ41" s="35"/>
      <c r="BA41" s="36"/>
      <c r="BB41" s="76"/>
      <c r="BC41" s="18"/>
      <c r="BD41" s="19"/>
      <c r="BE41" s="20"/>
      <c r="BF41" s="18">
        <f>(BB41*BC41+BB44*BC44+BB47*BC47)/100</f>
        <v>0</v>
      </c>
      <c r="BG41" s="19"/>
      <c r="BH41" s="20"/>
    </row>
    <row r="42" spans="1:60" x14ac:dyDescent="0.25">
      <c r="A42" s="48"/>
      <c r="B42" s="49"/>
      <c r="C42" s="49"/>
      <c r="D42" s="49"/>
      <c r="E42" s="49"/>
      <c r="F42" s="49"/>
      <c r="G42" s="50"/>
      <c r="H42" s="24"/>
      <c r="I42" s="24"/>
      <c r="J42" s="24"/>
      <c r="K42" s="28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30"/>
      <c r="AW42" s="37"/>
      <c r="AX42" s="38"/>
      <c r="AY42" s="38"/>
      <c r="AZ42" s="38"/>
      <c r="BA42" s="39"/>
      <c r="BB42" s="77"/>
      <c r="BC42" s="21"/>
      <c r="BD42" s="22"/>
      <c r="BE42" s="23"/>
      <c r="BF42" s="21"/>
      <c r="BG42" s="22"/>
      <c r="BH42" s="23"/>
    </row>
    <row r="43" spans="1:60" x14ac:dyDescent="0.25">
      <c r="A43" s="48"/>
      <c r="B43" s="49"/>
      <c r="C43" s="49"/>
      <c r="D43" s="49"/>
      <c r="E43" s="49"/>
      <c r="F43" s="49"/>
      <c r="G43" s="50"/>
      <c r="H43" s="24"/>
      <c r="I43" s="24"/>
      <c r="J43" s="24"/>
      <c r="K43" s="31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3"/>
      <c r="AW43" s="40"/>
      <c r="AX43" s="41"/>
      <c r="AY43" s="41"/>
      <c r="AZ43" s="41"/>
      <c r="BA43" s="42"/>
      <c r="BB43" s="78"/>
      <c r="BC43" s="43"/>
      <c r="BD43" s="44"/>
      <c r="BE43" s="45"/>
      <c r="BF43" s="21"/>
      <c r="BG43" s="22"/>
      <c r="BH43" s="23"/>
    </row>
    <row r="44" spans="1:60" x14ac:dyDescent="0.25">
      <c r="A44" s="79" t="s">
        <v>36</v>
      </c>
      <c r="B44" s="80"/>
      <c r="C44" s="80"/>
      <c r="D44" s="80"/>
      <c r="E44" s="80"/>
      <c r="F44" s="80"/>
      <c r="G44" s="81"/>
      <c r="H44" s="24"/>
      <c r="I44" s="24"/>
      <c r="J44" s="24"/>
      <c r="K44" s="5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5"/>
      <c r="AW44" s="63"/>
      <c r="AX44" s="63"/>
      <c r="AY44" s="63"/>
      <c r="AZ44" s="63"/>
      <c r="BA44" s="63"/>
      <c r="BB44" s="63"/>
      <c r="BC44" s="18"/>
      <c r="BD44" s="19"/>
      <c r="BE44" s="20"/>
      <c r="BF44" s="21"/>
      <c r="BG44" s="22"/>
      <c r="BH44" s="23"/>
    </row>
    <row r="45" spans="1:60" x14ac:dyDescent="0.25">
      <c r="A45" s="79"/>
      <c r="B45" s="80"/>
      <c r="C45" s="80"/>
      <c r="D45" s="80"/>
      <c r="E45" s="80"/>
      <c r="F45" s="80"/>
      <c r="G45" s="81"/>
      <c r="H45" s="24"/>
      <c r="I45" s="24"/>
      <c r="J45" s="24"/>
      <c r="K45" s="66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8"/>
      <c r="AW45" s="63"/>
      <c r="AX45" s="63"/>
      <c r="AY45" s="63"/>
      <c r="AZ45" s="63"/>
      <c r="BA45" s="63"/>
      <c r="BB45" s="63"/>
      <c r="BC45" s="21"/>
      <c r="BD45" s="22"/>
      <c r="BE45" s="23"/>
      <c r="BF45" s="21"/>
      <c r="BG45" s="22"/>
      <c r="BH45" s="23"/>
    </row>
    <row r="46" spans="1:60" x14ac:dyDescent="0.25">
      <c r="A46" s="82"/>
      <c r="B46" s="83"/>
      <c r="C46" s="83"/>
      <c r="D46" s="83"/>
      <c r="E46" s="83"/>
      <c r="F46" s="83"/>
      <c r="G46" s="84"/>
      <c r="H46" s="24"/>
      <c r="I46" s="24"/>
      <c r="J46" s="24"/>
      <c r="K46" s="69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1"/>
      <c r="AW46" s="63"/>
      <c r="AX46" s="63"/>
      <c r="AY46" s="63"/>
      <c r="AZ46" s="63"/>
      <c r="BA46" s="63"/>
      <c r="BB46" s="63"/>
      <c r="BC46" s="21"/>
      <c r="BD46" s="22"/>
      <c r="BE46" s="23"/>
      <c r="BF46" s="21"/>
      <c r="BG46" s="22"/>
      <c r="BH46" s="23"/>
    </row>
    <row r="47" spans="1:60" x14ac:dyDescent="0.25">
      <c r="A47" s="79" t="s">
        <v>15</v>
      </c>
      <c r="B47" s="80"/>
      <c r="C47" s="80"/>
      <c r="D47" s="80"/>
      <c r="E47" s="80"/>
      <c r="F47" s="80"/>
      <c r="G47" s="81"/>
      <c r="H47" s="24"/>
      <c r="I47" s="24"/>
      <c r="J47" s="24"/>
      <c r="K47" s="5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5"/>
      <c r="AW47" s="63"/>
      <c r="AX47" s="63"/>
      <c r="AY47" s="63"/>
      <c r="AZ47" s="63"/>
      <c r="BA47" s="63"/>
      <c r="BB47" s="63"/>
      <c r="BC47" s="18"/>
      <c r="BD47" s="19"/>
      <c r="BE47" s="20"/>
      <c r="BF47" s="21"/>
      <c r="BG47" s="22"/>
      <c r="BH47" s="23"/>
    </row>
    <row r="48" spans="1:60" x14ac:dyDescent="0.25">
      <c r="A48" s="79"/>
      <c r="B48" s="80"/>
      <c r="C48" s="80"/>
      <c r="D48" s="80"/>
      <c r="E48" s="80"/>
      <c r="F48" s="80"/>
      <c r="G48" s="81"/>
      <c r="H48" s="24"/>
      <c r="I48" s="24"/>
      <c r="J48" s="24"/>
      <c r="K48" s="66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8"/>
      <c r="AW48" s="63"/>
      <c r="AX48" s="63"/>
      <c r="AY48" s="63"/>
      <c r="AZ48" s="63"/>
      <c r="BA48" s="63"/>
      <c r="BB48" s="63"/>
      <c r="BC48" s="21"/>
      <c r="BD48" s="22"/>
      <c r="BE48" s="23"/>
      <c r="BF48" s="21"/>
      <c r="BG48" s="22"/>
      <c r="BH48" s="23"/>
    </row>
    <row r="49" spans="1:60" x14ac:dyDescent="0.25">
      <c r="A49" s="82"/>
      <c r="B49" s="83"/>
      <c r="C49" s="83"/>
      <c r="D49" s="83"/>
      <c r="E49" s="83"/>
      <c r="F49" s="83"/>
      <c r="G49" s="84"/>
      <c r="H49" s="24"/>
      <c r="I49" s="24"/>
      <c r="J49" s="24"/>
      <c r="K49" s="69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1"/>
      <c r="AW49" s="63"/>
      <c r="AX49" s="63"/>
      <c r="AY49" s="63"/>
      <c r="AZ49" s="63"/>
      <c r="BA49" s="63"/>
      <c r="BB49" s="63"/>
      <c r="BC49" s="21"/>
      <c r="BD49" s="22"/>
      <c r="BE49" s="23"/>
      <c r="BF49" s="43"/>
      <c r="BG49" s="44"/>
      <c r="BH49" s="45"/>
    </row>
    <row r="50" spans="1:60" x14ac:dyDescent="0.25">
      <c r="A50" s="48" t="s">
        <v>37</v>
      </c>
      <c r="B50" s="49"/>
      <c r="C50" s="49"/>
      <c r="D50" s="49"/>
      <c r="E50" s="49"/>
      <c r="F50" s="49"/>
      <c r="G50" s="50"/>
      <c r="H50" s="24"/>
      <c r="I50" s="24"/>
      <c r="J50" s="24"/>
      <c r="K50" s="5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5"/>
      <c r="AW50" s="63"/>
      <c r="AX50" s="63"/>
      <c r="AY50" s="63"/>
      <c r="AZ50" s="63"/>
      <c r="BA50" s="63"/>
      <c r="BB50" s="63"/>
      <c r="BC50" s="18"/>
      <c r="BD50" s="19"/>
      <c r="BE50" s="20"/>
      <c r="BF50" s="18">
        <f>BC50</f>
        <v>0</v>
      </c>
      <c r="BG50" s="19"/>
      <c r="BH50" s="20"/>
    </row>
    <row r="51" spans="1:60" x14ac:dyDescent="0.25">
      <c r="A51" s="48"/>
      <c r="B51" s="49"/>
      <c r="C51" s="49"/>
      <c r="D51" s="49"/>
      <c r="E51" s="49"/>
      <c r="F51" s="49"/>
      <c r="G51" s="50"/>
      <c r="H51" s="24"/>
      <c r="I51" s="24"/>
      <c r="J51" s="24"/>
      <c r="K51" s="66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8"/>
      <c r="AW51" s="63"/>
      <c r="AX51" s="63"/>
      <c r="AY51" s="63"/>
      <c r="AZ51" s="63"/>
      <c r="BA51" s="63"/>
      <c r="BB51" s="63"/>
      <c r="BC51" s="21"/>
      <c r="BD51" s="22"/>
      <c r="BE51" s="23"/>
      <c r="BF51" s="21"/>
      <c r="BG51" s="22"/>
      <c r="BH51" s="23"/>
    </row>
    <row r="52" spans="1:60" x14ac:dyDescent="0.25">
      <c r="A52" s="51"/>
      <c r="B52" s="52"/>
      <c r="C52" s="52"/>
      <c r="D52" s="52"/>
      <c r="E52" s="52"/>
      <c r="F52" s="52"/>
      <c r="G52" s="53"/>
      <c r="H52" s="24"/>
      <c r="I52" s="24"/>
      <c r="J52" s="24"/>
      <c r="K52" s="69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1"/>
      <c r="AW52" s="63"/>
      <c r="AX52" s="63"/>
      <c r="AY52" s="63"/>
      <c r="AZ52" s="63"/>
      <c r="BA52" s="63"/>
      <c r="BB52" s="63"/>
      <c r="BC52" s="21"/>
      <c r="BD52" s="22"/>
      <c r="BE52" s="23"/>
      <c r="BF52" s="21"/>
      <c r="BG52" s="22"/>
      <c r="BH52" s="23"/>
    </row>
    <row r="53" spans="1:60" x14ac:dyDescent="0.25">
      <c r="A53" s="48" t="s">
        <v>41</v>
      </c>
      <c r="B53" s="49"/>
      <c r="C53" s="49"/>
      <c r="D53" s="49"/>
      <c r="E53" s="49"/>
      <c r="F53" s="49"/>
      <c r="G53" s="50"/>
      <c r="H53" s="24"/>
      <c r="I53" s="24"/>
      <c r="J53" s="24"/>
      <c r="K53" s="54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6"/>
      <c r="AW53" s="63"/>
      <c r="AX53" s="63"/>
      <c r="AY53" s="63"/>
      <c r="AZ53" s="63"/>
      <c r="BA53" s="63"/>
      <c r="BB53" s="63"/>
      <c r="BC53" s="18"/>
      <c r="BD53" s="19"/>
      <c r="BE53" s="20"/>
      <c r="BF53" s="18">
        <f>BC53</f>
        <v>0</v>
      </c>
      <c r="BG53" s="19"/>
      <c r="BH53" s="20"/>
    </row>
    <row r="54" spans="1:60" x14ac:dyDescent="0.25">
      <c r="A54" s="48"/>
      <c r="B54" s="49"/>
      <c r="C54" s="49"/>
      <c r="D54" s="49"/>
      <c r="E54" s="49"/>
      <c r="F54" s="49"/>
      <c r="G54" s="50"/>
      <c r="H54" s="24"/>
      <c r="I54" s="24"/>
      <c r="J54" s="24"/>
      <c r="K54" s="57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9"/>
      <c r="AW54" s="63"/>
      <c r="AX54" s="63"/>
      <c r="AY54" s="63"/>
      <c r="AZ54" s="63"/>
      <c r="BA54" s="63"/>
      <c r="BB54" s="63"/>
      <c r="BC54" s="21"/>
      <c r="BD54" s="22"/>
      <c r="BE54" s="23"/>
      <c r="BF54" s="21"/>
      <c r="BG54" s="22"/>
      <c r="BH54" s="23"/>
    </row>
    <row r="55" spans="1:60" x14ac:dyDescent="0.25">
      <c r="A55" s="51"/>
      <c r="B55" s="52"/>
      <c r="C55" s="52"/>
      <c r="D55" s="52"/>
      <c r="E55" s="52"/>
      <c r="F55" s="52"/>
      <c r="G55" s="53"/>
      <c r="H55" s="24"/>
      <c r="I55" s="24"/>
      <c r="J55" s="24"/>
      <c r="K55" s="60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2"/>
      <c r="AW55" s="63"/>
      <c r="AX55" s="63"/>
      <c r="AY55" s="63"/>
      <c r="AZ55" s="63"/>
      <c r="BA55" s="63"/>
      <c r="BB55" s="63"/>
      <c r="BC55" s="21"/>
      <c r="BD55" s="22"/>
      <c r="BE55" s="23"/>
      <c r="BF55" s="21"/>
      <c r="BG55" s="22"/>
      <c r="BH55" s="23"/>
    </row>
    <row r="56" spans="1:60" x14ac:dyDescent="0.25">
      <c r="A56" s="48" t="s">
        <v>38</v>
      </c>
      <c r="B56" s="49"/>
      <c r="C56" s="49"/>
      <c r="D56" s="49"/>
      <c r="E56" s="49"/>
      <c r="F56" s="49"/>
      <c r="G56" s="50"/>
      <c r="H56" s="24"/>
      <c r="I56" s="24"/>
      <c r="J56" s="24"/>
      <c r="K56" s="54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6"/>
      <c r="AW56" s="63"/>
      <c r="AX56" s="63"/>
      <c r="AY56" s="63"/>
      <c r="AZ56" s="63"/>
      <c r="BA56" s="63"/>
      <c r="BB56" s="63"/>
      <c r="BC56" s="18"/>
      <c r="BD56" s="19"/>
      <c r="BE56" s="20"/>
      <c r="BF56" s="18">
        <f>BC56</f>
        <v>0</v>
      </c>
      <c r="BG56" s="19"/>
      <c r="BH56" s="20"/>
    </row>
    <row r="57" spans="1:60" x14ac:dyDescent="0.25">
      <c r="A57" s="48"/>
      <c r="B57" s="49"/>
      <c r="C57" s="49"/>
      <c r="D57" s="49"/>
      <c r="E57" s="49"/>
      <c r="F57" s="49"/>
      <c r="G57" s="50"/>
      <c r="H57" s="24"/>
      <c r="I57" s="24"/>
      <c r="J57" s="24"/>
      <c r="K57" s="57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9"/>
      <c r="AW57" s="63"/>
      <c r="AX57" s="63"/>
      <c r="AY57" s="63"/>
      <c r="AZ57" s="63"/>
      <c r="BA57" s="63"/>
      <c r="BB57" s="63"/>
      <c r="BC57" s="21"/>
      <c r="BD57" s="22"/>
      <c r="BE57" s="23"/>
      <c r="BF57" s="21"/>
      <c r="BG57" s="22"/>
      <c r="BH57" s="23"/>
    </row>
    <row r="58" spans="1:60" x14ac:dyDescent="0.25">
      <c r="A58" s="51"/>
      <c r="B58" s="52"/>
      <c r="C58" s="52"/>
      <c r="D58" s="52"/>
      <c r="E58" s="52"/>
      <c r="F58" s="52"/>
      <c r="G58" s="53"/>
      <c r="H58" s="24"/>
      <c r="I58" s="24"/>
      <c r="J58" s="24"/>
      <c r="K58" s="60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2"/>
      <c r="AW58" s="63"/>
      <c r="AX58" s="63"/>
      <c r="AY58" s="63"/>
      <c r="AZ58" s="63"/>
      <c r="BA58" s="63"/>
      <c r="BB58" s="63"/>
      <c r="BC58" s="21"/>
      <c r="BD58" s="22"/>
      <c r="BE58" s="23"/>
      <c r="BF58" s="21"/>
      <c r="BG58" s="22"/>
      <c r="BH58" s="23"/>
    </row>
    <row r="59" spans="1:60" x14ac:dyDescent="0.25">
      <c r="A59" s="46" t="s">
        <v>16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</row>
    <row r="61" spans="1:60" ht="15" customHeight="1" x14ac:dyDescent="0.25">
      <c r="B61" s="17" t="s">
        <v>28</v>
      </c>
      <c r="C61" s="17"/>
      <c r="D61" s="17"/>
      <c r="E61" s="17"/>
      <c r="F61" s="17"/>
      <c r="G61" s="17"/>
      <c r="H61" s="17"/>
      <c r="I61" s="17"/>
      <c r="J61" s="1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</row>
    <row r="63" spans="1:60" x14ac:dyDescent="0.25">
      <c r="B63" s="15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</row>
    <row r="64" spans="1:60" x14ac:dyDescent="0.2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</row>
    <row r="65" spans="2:58" x14ac:dyDescent="0.2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</row>
  </sheetData>
  <mergeCells count="138">
    <mergeCell ref="M9:BA9"/>
    <mergeCell ref="A24:G26"/>
    <mergeCell ref="H24:J26"/>
    <mergeCell ref="K24:AV26"/>
    <mergeCell ref="AW24:BA26"/>
    <mergeCell ref="BC24:BE26"/>
    <mergeCell ref="BC15:BE17"/>
    <mergeCell ref="H34:J35"/>
    <mergeCell ref="K34:AV35"/>
    <mergeCell ref="AW34:BA35"/>
    <mergeCell ref="BC21:BE23"/>
    <mergeCell ref="BB53:BB55"/>
    <mergeCell ref="BB56:BB58"/>
    <mergeCell ref="H6:AS7"/>
    <mergeCell ref="AT6:BA7"/>
    <mergeCell ref="A1:G7"/>
    <mergeCell ref="BC4:BH5"/>
    <mergeCell ref="BC6:BH7"/>
    <mergeCell ref="H1:BA2"/>
    <mergeCell ref="H3:BA4"/>
    <mergeCell ref="H5:BA5"/>
    <mergeCell ref="BC1:BH3"/>
    <mergeCell ref="BC14:BE14"/>
    <mergeCell ref="BF14:BH14"/>
    <mergeCell ref="K14:AV14"/>
    <mergeCell ref="BC8:BH13"/>
    <mergeCell ref="AL11:BA11"/>
    <mergeCell ref="A9:L9"/>
    <mergeCell ref="AA11:AG11"/>
    <mergeCell ref="A11:L11"/>
    <mergeCell ref="M11:U11"/>
    <mergeCell ref="A14:G14"/>
    <mergeCell ref="H14:J14"/>
    <mergeCell ref="AW14:BA14"/>
    <mergeCell ref="A13:J13"/>
    <mergeCell ref="K13:O13"/>
    <mergeCell ref="P13:Y13"/>
    <mergeCell ref="Z13:AG13"/>
    <mergeCell ref="O12:R12"/>
    <mergeCell ref="A15:G17"/>
    <mergeCell ref="A21:G23"/>
    <mergeCell ref="AW15:BA17"/>
    <mergeCell ref="AW21:BA23"/>
    <mergeCell ref="K15:AV17"/>
    <mergeCell ref="K21:AV23"/>
    <mergeCell ref="H15:J17"/>
    <mergeCell ref="H21:J23"/>
    <mergeCell ref="AH13:AP13"/>
    <mergeCell ref="AQ13:BA13"/>
    <mergeCell ref="A18:G20"/>
    <mergeCell ref="H18:J20"/>
    <mergeCell ref="K18:AV20"/>
    <mergeCell ref="AW18:BA20"/>
    <mergeCell ref="BF21:BH26"/>
    <mergeCell ref="BB15:BB17"/>
    <mergeCell ref="BB21:BB23"/>
    <mergeCell ref="BB24:BB26"/>
    <mergeCell ref="BB27:BB29"/>
    <mergeCell ref="BB34:BB35"/>
    <mergeCell ref="BB18:BB20"/>
    <mergeCell ref="BC18:BE20"/>
    <mergeCell ref="A30:G31"/>
    <mergeCell ref="H30:J31"/>
    <mergeCell ref="K30:AV31"/>
    <mergeCell ref="BF15:BH20"/>
    <mergeCell ref="BF27:BH33"/>
    <mergeCell ref="A32:G33"/>
    <mergeCell ref="H32:J33"/>
    <mergeCell ref="K32:AV33"/>
    <mergeCell ref="AW32:BA33"/>
    <mergeCell ref="BB32:BB33"/>
    <mergeCell ref="BC32:BE33"/>
    <mergeCell ref="A34:G35"/>
    <mergeCell ref="BC34:BE35"/>
    <mergeCell ref="BF34:BH35"/>
    <mergeCell ref="A27:G29"/>
    <mergeCell ref="H27:J29"/>
    <mergeCell ref="BF36:BH40"/>
    <mergeCell ref="K50:AV52"/>
    <mergeCell ref="AW50:BA52"/>
    <mergeCell ref="BC50:BE52"/>
    <mergeCell ref="A47:G49"/>
    <mergeCell ref="H47:J49"/>
    <mergeCell ref="K47:AV49"/>
    <mergeCell ref="AW47:BA49"/>
    <mergeCell ref="BC47:BE49"/>
    <mergeCell ref="AW44:BA46"/>
    <mergeCell ref="BB44:BB46"/>
    <mergeCell ref="BC44:BE46"/>
    <mergeCell ref="BC36:BE38"/>
    <mergeCell ref="A39:G40"/>
    <mergeCell ref="H39:J40"/>
    <mergeCell ref="K39:AV40"/>
    <mergeCell ref="AW39:BA40"/>
    <mergeCell ref="BC39:BE40"/>
    <mergeCell ref="H36:J38"/>
    <mergeCell ref="K36:AV38"/>
    <mergeCell ref="AW36:BA38"/>
    <mergeCell ref="BB36:BB38"/>
    <mergeCell ref="BB39:BB40"/>
    <mergeCell ref="K27:AV29"/>
    <mergeCell ref="AW27:BA29"/>
    <mergeCell ref="BC27:BE29"/>
    <mergeCell ref="A41:G43"/>
    <mergeCell ref="A36:G38"/>
    <mergeCell ref="BB41:BB43"/>
    <mergeCell ref="BB47:BB49"/>
    <mergeCell ref="BB50:BB52"/>
    <mergeCell ref="AW30:BA31"/>
    <mergeCell ref="BB30:BB31"/>
    <mergeCell ref="BC30:BE31"/>
    <mergeCell ref="A44:G46"/>
    <mergeCell ref="H44:J46"/>
    <mergeCell ref="K44:AV46"/>
    <mergeCell ref="B63:BF65"/>
    <mergeCell ref="B61:J61"/>
    <mergeCell ref="BF50:BH52"/>
    <mergeCell ref="H41:J43"/>
    <mergeCell ref="K41:AV43"/>
    <mergeCell ref="AW41:BA43"/>
    <mergeCell ref="BC41:BE43"/>
    <mergeCell ref="BF41:BH49"/>
    <mergeCell ref="A59:BH59"/>
    <mergeCell ref="K61:AK61"/>
    <mergeCell ref="BF53:BH55"/>
    <mergeCell ref="A56:G58"/>
    <mergeCell ref="H56:J58"/>
    <mergeCell ref="K56:AV58"/>
    <mergeCell ref="AW56:BA58"/>
    <mergeCell ref="BC56:BE58"/>
    <mergeCell ref="BF56:BH58"/>
    <mergeCell ref="A53:G55"/>
    <mergeCell ref="H53:J55"/>
    <mergeCell ref="K53:AV55"/>
    <mergeCell ref="AW53:BA55"/>
    <mergeCell ref="BC53:BE55"/>
    <mergeCell ref="A50:G52"/>
    <mergeCell ref="H50:J52"/>
  </mergeCells>
  <conditionalFormatting sqref="BC36">
    <cfRule type="cellIs" dxfId="17" priority="22" operator="lessThan">
      <formula>3</formula>
    </cfRule>
  </conditionalFormatting>
  <conditionalFormatting sqref="BC39">
    <cfRule type="cellIs" dxfId="16" priority="20" operator="lessThan">
      <formula>3</formula>
    </cfRule>
  </conditionalFormatting>
  <conditionalFormatting sqref="BC41">
    <cfRule type="cellIs" dxfId="15" priority="18" operator="lessThan">
      <formula>3</formula>
    </cfRule>
  </conditionalFormatting>
  <conditionalFormatting sqref="BC44">
    <cfRule type="cellIs" dxfId="14" priority="2" operator="lessThan">
      <formula>3</formula>
    </cfRule>
  </conditionalFormatting>
  <conditionalFormatting sqref="BC47">
    <cfRule type="cellIs" dxfId="13" priority="14" operator="lessThan">
      <formula>3</formula>
    </cfRule>
  </conditionalFormatting>
  <conditionalFormatting sqref="BC50">
    <cfRule type="cellIs" dxfId="12" priority="13" operator="lessThan">
      <formula>3</formula>
    </cfRule>
  </conditionalFormatting>
  <conditionalFormatting sqref="BC53">
    <cfRule type="cellIs" dxfId="11" priority="12" operator="lessThan">
      <formula>3</formula>
    </cfRule>
  </conditionalFormatting>
  <conditionalFormatting sqref="BC56">
    <cfRule type="cellIs" dxfId="10" priority="10" operator="lessThan">
      <formula>3</formula>
    </cfRule>
  </conditionalFormatting>
  <conditionalFormatting sqref="BC15:BE35">
    <cfRule type="cellIs" dxfId="9" priority="4" operator="lessThan">
      <formula>3</formula>
    </cfRule>
  </conditionalFormatting>
  <conditionalFormatting sqref="BF15">
    <cfRule type="cellIs" dxfId="8" priority="31" operator="lessThan">
      <formula>3</formula>
    </cfRule>
  </conditionalFormatting>
  <conditionalFormatting sqref="BF21">
    <cfRule type="cellIs" dxfId="7" priority="29" operator="lessThan">
      <formula>3</formula>
    </cfRule>
  </conditionalFormatting>
  <conditionalFormatting sqref="BF27">
    <cfRule type="cellIs" dxfId="6" priority="25" operator="lessThan">
      <formula>3</formula>
    </cfRule>
  </conditionalFormatting>
  <conditionalFormatting sqref="BF36">
    <cfRule type="cellIs" dxfId="5" priority="21" operator="lessThan">
      <formula>3</formula>
    </cfRule>
  </conditionalFormatting>
  <conditionalFormatting sqref="BF41">
    <cfRule type="cellIs" dxfId="4" priority="16" operator="lessThan">
      <formula>3</formula>
    </cfRule>
  </conditionalFormatting>
  <conditionalFormatting sqref="BF50">
    <cfRule type="cellIs" dxfId="3" priority="15" operator="lessThan">
      <formula>3</formula>
    </cfRule>
  </conditionalFormatting>
  <conditionalFormatting sqref="BF53">
    <cfRule type="cellIs" dxfId="2" priority="11" operator="lessThan">
      <formula>3</formula>
    </cfRule>
  </conditionalFormatting>
  <conditionalFormatting sqref="BF56">
    <cfRule type="cellIs" dxfId="1" priority="9" operator="lessThan">
      <formula>3</formula>
    </cfRule>
  </conditionalFormatting>
  <conditionalFormatting sqref="BF34:BH35">
    <cfRule type="cellIs" dxfId="0" priority="23" operator="lessThan">
      <formula>3</formula>
    </cfRule>
  </conditionalFormatting>
  <printOptions horizontalCentered="1" verticalCentered="1"/>
  <pageMargins left="0.23622047244094491" right="0.23622047244094491" top="0.39370078740157483" bottom="0.74803149606299213" header="0.31496062992125984" footer="0.31496062992125984"/>
  <pageSetup paperSize="5" scale="97" orientation="portrait" r:id="rId1"/>
  <headerFooter scaleWithDoc="0" alignWithMargins="0">
    <oddFooter>&amp;CTELÉFONOS: SECRETARÍA 314 661 0344
e-mail &amp;"-,Negrita"&amp;K0070C0iedeoccidente@sedcaldas.gov.co&amp;"-,Normal"&amp;K01+000 
Cr 5 11-19 ANSERMA CALDAS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</vt:i4>
      </vt:variant>
    </vt:vector>
  </HeadingPairs>
  <TitlesOfParts>
    <vt:vector size="8" baseType="lpstr">
      <vt:lpstr>Hoja1</vt:lpstr>
      <vt:lpstr>Hoja1!Área_de_impresión</vt:lpstr>
      <vt:lpstr>director</vt:lpstr>
      <vt:lpstr>pgrupo</vt:lpstr>
      <vt:lpstr>pie</vt:lpstr>
      <vt:lpstr>promedio</vt:lpstr>
      <vt:lpstr>tdirector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E DE OCCIDENTE</dc:creator>
  <cp:lastModifiedBy>coloccidente@hotmail.com Anserma</cp:lastModifiedBy>
  <cp:lastPrinted>2021-11-24T23:03:07Z</cp:lastPrinted>
  <dcterms:created xsi:type="dcterms:W3CDTF">2011-09-20T20:19:06Z</dcterms:created>
  <dcterms:modified xsi:type="dcterms:W3CDTF">2023-11-21T19:11:09Z</dcterms:modified>
</cp:coreProperties>
</file>